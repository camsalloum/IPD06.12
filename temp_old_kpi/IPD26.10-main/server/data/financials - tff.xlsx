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01B3415C-D7ED-4112-83E0-9D0140409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57" i="6" l="1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CM53" i="6"/>
  <c r="CN53" i="6"/>
  <c r="CO53" i="6"/>
  <c r="CP53" i="6"/>
  <c r="CQ53" i="6"/>
  <c r="CR53" i="6"/>
  <c r="CS53" i="6"/>
  <c r="B53" i="6"/>
  <c r="BZ55" i="6" l="1"/>
  <c r="BZ56" i="6" s="1"/>
  <c r="BZ60" i="6"/>
  <c r="BZ61" i="6"/>
  <c r="BZ47" i="6"/>
  <c r="BZ41" i="6"/>
  <c r="BZ32" i="6"/>
  <c r="BZ19" i="6"/>
  <c r="BZ20" i="6"/>
  <c r="BZ22" i="6" s="1"/>
  <c r="BZ23" i="6" s="1"/>
  <c r="BZ21" i="6"/>
  <c r="BZ17" i="6"/>
  <c r="BZ5" i="6" s="1"/>
  <c r="BZ15" i="6"/>
  <c r="BZ7" i="6"/>
  <c r="BZ58" i="6" l="1"/>
  <c r="CH47" i="6" l="1"/>
  <c r="J47" i="6"/>
  <c r="R47" i="6"/>
  <c r="Z47" i="6"/>
  <c r="AH47" i="6"/>
  <c r="AP47" i="6"/>
  <c r="AX47" i="6"/>
  <c r="BF47" i="6"/>
  <c r="BN47" i="6"/>
  <c r="BV47" i="6"/>
  <c r="C47" i="6"/>
  <c r="K47" i="6"/>
  <c r="S47" i="6"/>
  <c r="AA47" i="6"/>
  <c r="AI47" i="6"/>
  <c r="AQ47" i="6"/>
  <c r="AY47" i="6"/>
  <c r="BG47" i="6"/>
  <c r="BI47" i="6"/>
  <c r="BO47" i="6"/>
  <c r="BQ47" i="6"/>
  <c r="BW47" i="6"/>
  <c r="BY47" i="6"/>
  <c r="D47" i="6"/>
  <c r="L47" i="6"/>
  <c r="T47" i="6"/>
  <c r="AB47" i="6"/>
  <c r="AJ47" i="6"/>
  <c r="AR47" i="6"/>
  <c r="AZ47" i="6"/>
  <c r="BH47" i="6"/>
  <c r="BP47" i="6"/>
  <c r="BX47" i="6"/>
  <c r="D39" i="6"/>
  <c r="D41" i="6" s="1"/>
  <c r="L39" i="6"/>
  <c r="L41" i="6" s="1"/>
  <c r="T39" i="6"/>
  <c r="T41" i="6" s="1"/>
  <c r="AB39" i="6"/>
  <c r="AB41" i="6" s="1"/>
  <c r="AJ39" i="6"/>
  <c r="AJ41" i="6" s="1"/>
  <c r="AR39" i="6"/>
  <c r="AR41" i="6" s="1"/>
  <c r="AZ39" i="6"/>
  <c r="AZ41" i="6" s="1"/>
  <c r="BH39" i="6"/>
  <c r="BH41" i="6" s="1"/>
  <c r="BP39" i="6"/>
  <c r="BP41" i="6" s="1"/>
  <c r="BU39" i="6"/>
  <c r="BU41" i="6" s="1"/>
  <c r="BX39" i="6"/>
  <c r="BX41" i="6" s="1"/>
  <c r="CK39" i="6"/>
  <c r="CN39" i="6"/>
  <c r="CS39" i="6"/>
  <c r="E39" i="6"/>
  <c r="E41" i="6" s="1"/>
  <c r="G39" i="6"/>
  <c r="G41" i="6" s="1"/>
  <c r="J39" i="6"/>
  <c r="J41" i="6" s="1"/>
  <c r="M39" i="6"/>
  <c r="M41" i="6" s="1"/>
  <c r="O39" i="6"/>
  <c r="O41" i="6" s="1"/>
  <c r="R39" i="6"/>
  <c r="R41" i="6" s="1"/>
  <c r="U39" i="6"/>
  <c r="U41" i="6" s="1"/>
  <c r="W39" i="6"/>
  <c r="W41" i="6" s="1"/>
  <c r="Z39" i="6"/>
  <c r="Z41" i="6" s="1"/>
  <c r="AC39" i="6"/>
  <c r="AC41" i="6" s="1"/>
  <c r="AE39" i="6"/>
  <c r="AE41" i="6" s="1"/>
  <c r="AH39" i="6"/>
  <c r="AH41" i="6" s="1"/>
  <c r="AK39" i="6"/>
  <c r="AK41" i="6" s="1"/>
  <c r="AM39" i="6"/>
  <c r="AM41" i="6" s="1"/>
  <c r="AP39" i="6"/>
  <c r="AP41" i="6" s="1"/>
  <c r="AS39" i="6"/>
  <c r="AS41" i="6" s="1"/>
  <c r="AU39" i="6"/>
  <c r="AU41" i="6" s="1"/>
  <c r="AX39" i="6"/>
  <c r="AX41" i="6" s="1"/>
  <c r="BA39" i="6"/>
  <c r="BA41" i="6" s="1"/>
  <c r="BC39" i="6"/>
  <c r="BC41" i="6" s="1"/>
  <c r="BF39" i="6"/>
  <c r="BF41" i="6" s="1"/>
  <c r="BI39" i="6"/>
  <c r="BI41" i="6" s="1"/>
  <c r="BK39" i="6"/>
  <c r="BK41" i="6" s="1"/>
  <c r="BN39" i="6"/>
  <c r="BN41" i="6" s="1"/>
  <c r="BQ39" i="6"/>
  <c r="BQ41" i="6" s="1"/>
  <c r="BS39" i="6"/>
  <c r="BS41" i="6" s="1"/>
  <c r="BV39" i="6"/>
  <c r="BV41" i="6" s="1"/>
  <c r="BY39" i="6"/>
  <c r="BY41" i="6" s="1"/>
  <c r="CI39" i="6"/>
  <c r="CL39" i="6"/>
  <c r="CO39" i="6"/>
  <c r="CQ39" i="6"/>
  <c r="AT41" i="6"/>
  <c r="H32" i="6"/>
  <c r="P32" i="6"/>
  <c r="X32" i="6"/>
  <c r="AF32" i="6"/>
  <c r="AN32" i="6"/>
  <c r="AV32" i="6"/>
  <c r="BD32" i="6"/>
  <c r="BL32" i="6"/>
  <c r="BT32" i="6"/>
  <c r="I32" i="6"/>
  <c r="Q32" i="6"/>
  <c r="Y32" i="6"/>
  <c r="AG32" i="6"/>
  <c r="AO32" i="6"/>
  <c r="AW32" i="6"/>
  <c r="BE32" i="6"/>
  <c r="BM32" i="6"/>
  <c r="BU32" i="6"/>
  <c r="J32" i="6"/>
  <c r="R32" i="6"/>
  <c r="Z32" i="6"/>
  <c r="AH32" i="6"/>
  <c r="AP32" i="6"/>
  <c r="AX32" i="6"/>
  <c r="BF32" i="6"/>
  <c r="BN32" i="6"/>
  <c r="BV32" i="6"/>
  <c r="C32" i="6"/>
  <c r="K32" i="6"/>
  <c r="S32" i="6"/>
  <c r="AA32" i="6"/>
  <c r="AI32" i="6"/>
  <c r="AQ32" i="6"/>
  <c r="AY32" i="6"/>
  <c r="BG32" i="6"/>
  <c r="BO32" i="6"/>
  <c r="BW32" i="6"/>
  <c r="D32" i="6"/>
  <c r="L32" i="6"/>
  <c r="T32" i="6"/>
  <c r="AB32" i="6"/>
  <c r="AJ32" i="6"/>
  <c r="AR32" i="6"/>
  <c r="AZ32" i="6"/>
  <c r="BH32" i="6"/>
  <c r="BP32" i="6"/>
  <c r="BX32" i="6"/>
  <c r="E32" i="6"/>
  <c r="M32" i="6"/>
  <c r="U32" i="6"/>
  <c r="AC32" i="6"/>
  <c r="AK32" i="6"/>
  <c r="AS32" i="6"/>
  <c r="BA32" i="6"/>
  <c r="BI32" i="6"/>
  <c r="BQ32" i="6"/>
  <c r="BY32" i="6"/>
  <c r="B15" i="6"/>
  <c r="C15" i="6"/>
  <c r="D15" i="6"/>
  <c r="G15" i="6"/>
  <c r="K15" i="6"/>
  <c r="L15" i="6"/>
  <c r="P15" i="6"/>
  <c r="Q15" i="6"/>
  <c r="S15" i="6"/>
  <c r="Y15" i="6"/>
  <c r="Z15" i="6"/>
  <c r="AA15" i="6"/>
  <c r="AB15" i="6"/>
  <c r="AH15" i="6"/>
  <c r="AI15" i="6"/>
  <c r="AJ15" i="6"/>
  <c r="AM15" i="6"/>
  <c r="AP15" i="6"/>
  <c r="AQ15" i="6"/>
  <c r="AR15" i="6"/>
  <c r="AV15" i="6"/>
  <c r="AW15" i="6"/>
  <c r="AW17" i="6" s="1"/>
  <c r="AX15" i="6"/>
  <c r="AX17" i="6" s="1"/>
  <c r="BE15" i="6"/>
  <c r="BF15" i="6"/>
  <c r="BH15" i="6"/>
  <c r="BO15" i="6"/>
  <c r="BP15" i="6"/>
  <c r="BS15" i="6"/>
  <c r="BW15" i="6"/>
  <c r="BX15" i="6"/>
  <c r="CJ15" i="6"/>
  <c r="CK15" i="6"/>
  <c r="CM15" i="6"/>
  <c r="CS15" i="6"/>
  <c r="E15" i="6"/>
  <c r="M15" i="6"/>
  <c r="U15" i="6"/>
  <c r="AC15" i="6"/>
  <c r="AK15" i="6"/>
  <c r="AS15" i="6"/>
  <c r="BA15" i="6"/>
  <c r="BI15" i="6"/>
  <c r="BQ15" i="6"/>
  <c r="BY15" i="6"/>
  <c r="CO15" i="6"/>
  <c r="J15" i="6"/>
  <c r="R15" i="6"/>
  <c r="BN15" i="6"/>
  <c r="BV15" i="6"/>
  <c r="CL15" i="6"/>
  <c r="CL17" i="6" s="1"/>
  <c r="AY15" i="6"/>
  <c r="BG15" i="6"/>
  <c r="E7" i="6"/>
  <c r="F7" i="6"/>
  <c r="I7" i="6"/>
  <c r="J7" i="6"/>
  <c r="N7" i="6"/>
  <c r="R7" i="6"/>
  <c r="V7" i="6"/>
  <c r="X7" i="6"/>
  <c r="Y7" i="6"/>
  <c r="Z7" i="6"/>
  <c r="AD7" i="6"/>
  <c r="AF7" i="6"/>
  <c r="AG7" i="6"/>
  <c r="AH7" i="6"/>
  <c r="AO7" i="6"/>
  <c r="AS7" i="6"/>
  <c r="AT7" i="6"/>
  <c r="AW7" i="6"/>
  <c r="AX7" i="6"/>
  <c r="BB7" i="6"/>
  <c r="BF7" i="6"/>
  <c r="BJ7" i="6"/>
  <c r="BL7" i="6"/>
  <c r="BN7" i="6"/>
  <c r="BQ7" i="6"/>
  <c r="BT7" i="6"/>
  <c r="BU7" i="6"/>
  <c r="BV7" i="6"/>
  <c r="CH7" i="6"/>
  <c r="CJ7" i="6"/>
  <c r="CK7" i="6"/>
  <c r="CL7" i="6"/>
  <c r="CR7" i="6"/>
  <c r="CS7" i="6"/>
  <c r="AN7" i="6"/>
  <c r="AP7" i="6"/>
  <c r="B7" i="6"/>
  <c r="CS47" i="6"/>
  <c r="CR47" i="6"/>
  <c r="CQ47" i="6"/>
  <c r="CP47" i="6"/>
  <c r="CK47" i="6"/>
  <c r="CJ47" i="6"/>
  <c r="CI47" i="6"/>
  <c r="BU47" i="6"/>
  <c r="BT47" i="6"/>
  <c r="BS47" i="6"/>
  <c r="BR47" i="6"/>
  <c r="BM47" i="6"/>
  <c r="BL47" i="6"/>
  <c r="BK47" i="6"/>
  <c r="BJ47" i="6"/>
  <c r="BE47" i="6"/>
  <c r="BD47" i="6"/>
  <c r="BC47" i="6"/>
  <c r="BB47" i="6"/>
  <c r="BA47" i="6"/>
  <c r="AW47" i="6"/>
  <c r="AV47" i="6"/>
  <c r="AU47" i="6"/>
  <c r="AT47" i="6"/>
  <c r="AS47" i="6"/>
  <c r="AO47" i="6"/>
  <c r="AN47" i="6"/>
  <c r="AM47" i="6"/>
  <c r="AL47" i="6"/>
  <c r="AK47" i="6"/>
  <c r="AG47" i="6"/>
  <c r="AF47" i="6"/>
  <c r="AE47" i="6"/>
  <c r="AD47" i="6"/>
  <c r="AC47" i="6"/>
  <c r="Y47" i="6"/>
  <c r="X47" i="6"/>
  <c r="W47" i="6"/>
  <c r="V47" i="6"/>
  <c r="U47" i="6"/>
  <c r="Q47" i="6"/>
  <c r="P47" i="6"/>
  <c r="O47" i="6"/>
  <c r="N47" i="6"/>
  <c r="M47" i="6"/>
  <c r="I47" i="6"/>
  <c r="H47" i="6"/>
  <c r="G47" i="6"/>
  <c r="F47" i="6"/>
  <c r="E47" i="6"/>
  <c r="B47" i="6"/>
  <c r="CR39" i="6"/>
  <c r="CP39" i="6"/>
  <c r="CM39" i="6"/>
  <c r="CJ39" i="6"/>
  <c r="CH39" i="6"/>
  <c r="BW39" i="6"/>
  <c r="BW41" i="6" s="1"/>
  <c r="BT39" i="6"/>
  <c r="BT41" i="6" s="1"/>
  <c r="BR39" i="6"/>
  <c r="BR41" i="6" s="1"/>
  <c r="BO39" i="6"/>
  <c r="BO41" i="6" s="1"/>
  <c r="BM39" i="6"/>
  <c r="BM41" i="6" s="1"/>
  <c r="BL39" i="6"/>
  <c r="BL41" i="6" s="1"/>
  <c r="BJ39" i="6"/>
  <c r="BJ41" i="6" s="1"/>
  <c r="BG39" i="6"/>
  <c r="BG41" i="6" s="1"/>
  <c r="BE39" i="6"/>
  <c r="BE41" i="6" s="1"/>
  <c r="BD39" i="6"/>
  <c r="BD41" i="6" s="1"/>
  <c r="BB39" i="6"/>
  <c r="BB41" i="6" s="1"/>
  <c r="AY39" i="6"/>
  <c r="AY41" i="6" s="1"/>
  <c r="AW39" i="6"/>
  <c r="AW41" i="6" s="1"/>
  <c r="AV39" i="6"/>
  <c r="AV41" i="6" s="1"/>
  <c r="AT39" i="6"/>
  <c r="AQ39" i="6"/>
  <c r="AQ41" i="6" s="1"/>
  <c r="AO39" i="6"/>
  <c r="AO41" i="6" s="1"/>
  <c r="AN39" i="6"/>
  <c r="AN41" i="6" s="1"/>
  <c r="AL39" i="6"/>
  <c r="AL41" i="6" s="1"/>
  <c r="AI39" i="6"/>
  <c r="AI41" i="6" s="1"/>
  <c r="AG39" i="6"/>
  <c r="AG41" i="6" s="1"/>
  <c r="AF39" i="6"/>
  <c r="AF41" i="6" s="1"/>
  <c r="AD39" i="6"/>
  <c r="AD41" i="6" s="1"/>
  <c r="AA39" i="6"/>
  <c r="AA41" i="6" s="1"/>
  <c r="Y39" i="6"/>
  <c r="Y41" i="6" s="1"/>
  <c r="X39" i="6"/>
  <c r="X41" i="6" s="1"/>
  <c r="V39" i="6"/>
  <c r="V41" i="6" s="1"/>
  <c r="S39" i="6"/>
  <c r="S41" i="6" s="1"/>
  <c r="Q39" i="6"/>
  <c r="Q41" i="6" s="1"/>
  <c r="P39" i="6"/>
  <c r="P41" i="6" s="1"/>
  <c r="N39" i="6"/>
  <c r="N41" i="6" s="1"/>
  <c r="K39" i="6"/>
  <c r="K41" i="6" s="1"/>
  <c r="I39" i="6"/>
  <c r="I41" i="6" s="1"/>
  <c r="H39" i="6"/>
  <c r="H41" i="6" s="1"/>
  <c r="F39" i="6"/>
  <c r="F41" i="6" s="1"/>
  <c r="C39" i="6"/>
  <c r="C41" i="6" s="1"/>
  <c r="B39" i="6"/>
  <c r="B41" i="6" s="1"/>
  <c r="BS32" i="6"/>
  <c r="BR32" i="6"/>
  <c r="BK32" i="6"/>
  <c r="BJ32" i="6"/>
  <c r="BC32" i="6"/>
  <c r="BB32" i="6"/>
  <c r="AU32" i="6"/>
  <c r="AT32" i="6"/>
  <c r="AM32" i="6"/>
  <c r="AL32" i="6"/>
  <c r="AE32" i="6"/>
  <c r="AD32" i="6"/>
  <c r="W32" i="6"/>
  <c r="V32" i="6"/>
  <c r="O32" i="6"/>
  <c r="N32" i="6"/>
  <c r="G32" i="6"/>
  <c r="F32" i="6"/>
  <c r="B32" i="6"/>
  <c r="CR15" i="6"/>
  <c r="CQ15" i="6"/>
  <c r="CP15" i="6"/>
  <c r="CN15" i="6"/>
  <c r="CI15" i="6"/>
  <c r="CH15" i="6"/>
  <c r="BU15" i="6"/>
  <c r="BT15" i="6"/>
  <c r="BR15" i="6"/>
  <c r="BR17" i="6" s="1"/>
  <c r="BM15" i="6"/>
  <c r="BM17" i="6" s="1"/>
  <c r="BL15" i="6"/>
  <c r="BK15" i="6"/>
  <c r="BJ15" i="6"/>
  <c r="BD15" i="6"/>
  <c r="BC15" i="6"/>
  <c r="BB15" i="6"/>
  <c r="AZ15" i="6"/>
  <c r="AU15" i="6"/>
  <c r="AT15" i="6"/>
  <c r="AO15" i="6"/>
  <c r="AN15" i="6"/>
  <c r="AL15" i="6"/>
  <c r="AL17" i="6" s="1"/>
  <c r="AG15" i="6"/>
  <c r="AF15" i="6"/>
  <c r="AE15" i="6"/>
  <c r="AD15" i="6"/>
  <c r="X15" i="6"/>
  <c r="W15" i="6"/>
  <c r="V15" i="6"/>
  <c r="T15" i="6"/>
  <c r="O15" i="6"/>
  <c r="N15" i="6"/>
  <c r="N17" i="6" s="1"/>
  <c r="I15" i="6"/>
  <c r="I17" i="6" s="1"/>
  <c r="H15" i="6"/>
  <c r="F15" i="6"/>
  <c r="F17" i="6" s="1"/>
  <c r="CQ7" i="6"/>
  <c r="CP7" i="6"/>
  <c r="CO7" i="6"/>
  <c r="CN7" i="6"/>
  <c r="CM7" i="6"/>
  <c r="CI7" i="6"/>
  <c r="BY7" i="6"/>
  <c r="BX7" i="6"/>
  <c r="BW7" i="6"/>
  <c r="BS7" i="6"/>
  <c r="BR7" i="6"/>
  <c r="BP7" i="6"/>
  <c r="BO7" i="6"/>
  <c r="BM7" i="6"/>
  <c r="BK7" i="6"/>
  <c r="BI7" i="6"/>
  <c r="BH7" i="6"/>
  <c r="BG7" i="6"/>
  <c r="BE7" i="6"/>
  <c r="BD7" i="6"/>
  <c r="BC7" i="6"/>
  <c r="BA7" i="6"/>
  <c r="AZ7" i="6"/>
  <c r="AY7" i="6"/>
  <c r="AV7" i="6"/>
  <c r="AU7" i="6"/>
  <c r="AR7" i="6"/>
  <c r="AQ7" i="6"/>
  <c r="AM7" i="6"/>
  <c r="AL7" i="6"/>
  <c r="AK7" i="6"/>
  <c r="AJ7" i="6"/>
  <c r="AI7" i="6"/>
  <c r="AE7" i="6"/>
  <c r="AC7" i="6"/>
  <c r="AB7" i="6"/>
  <c r="AA7" i="6"/>
  <c r="W7" i="6"/>
  <c r="U7" i="6"/>
  <c r="T7" i="6"/>
  <c r="S7" i="6"/>
  <c r="Q7" i="6"/>
  <c r="P7" i="6"/>
  <c r="O7" i="6"/>
  <c r="M7" i="6"/>
  <c r="L7" i="6"/>
  <c r="K7" i="6"/>
  <c r="H7" i="6"/>
  <c r="G7" i="6"/>
  <c r="D7" i="6"/>
  <c r="C7" i="6"/>
  <c r="CP60" i="6" l="1"/>
  <c r="CP61" i="6" s="1"/>
  <c r="CL47" i="6"/>
  <c r="CM47" i="6"/>
  <c r="CN47" i="6"/>
  <c r="CN60" i="6" s="1"/>
  <c r="CN61" i="6" s="1"/>
  <c r="CO47" i="6"/>
  <c r="CO60" i="6" s="1"/>
  <c r="CO61" i="6" s="1"/>
  <c r="S60" i="6"/>
  <c r="S61" i="6" s="1"/>
  <c r="CH60" i="6"/>
  <c r="CH61" i="6" s="1"/>
  <c r="V60" i="6"/>
  <c r="V61" i="6" s="1"/>
  <c r="BB60" i="6"/>
  <c r="BB61" i="6" s="1"/>
  <c r="E60" i="6"/>
  <c r="E61" i="6" s="1"/>
  <c r="T60" i="6"/>
  <c r="T61" i="6" s="1"/>
  <c r="AI60" i="6"/>
  <c r="AI61" i="6" s="1"/>
  <c r="AX60" i="6"/>
  <c r="AX61" i="6" s="1"/>
  <c r="CQ60" i="6"/>
  <c r="CQ61" i="6" s="1"/>
  <c r="BI60" i="6"/>
  <c r="BI61" i="6" s="1"/>
  <c r="L60" i="6"/>
  <c r="L61" i="6" s="1"/>
  <c r="AA60" i="6"/>
  <c r="AA61" i="6" s="1"/>
  <c r="AP60" i="6"/>
  <c r="AP61" i="6" s="1"/>
  <c r="CR60" i="6"/>
  <c r="CR61" i="6" s="1"/>
  <c r="BA60" i="6"/>
  <c r="BA61" i="6" s="1"/>
  <c r="BP60" i="6"/>
  <c r="BP61" i="6" s="1"/>
  <c r="D60" i="6"/>
  <c r="D61" i="6" s="1"/>
  <c r="AS60" i="6"/>
  <c r="AS61" i="6" s="1"/>
  <c r="BH60" i="6"/>
  <c r="BH61" i="6" s="1"/>
  <c r="BW60" i="6"/>
  <c r="BW61" i="6" s="1"/>
  <c r="K60" i="6"/>
  <c r="K61" i="6" s="1"/>
  <c r="Z60" i="6"/>
  <c r="Z61" i="6" s="1"/>
  <c r="F60" i="6"/>
  <c r="F61" i="6" s="1"/>
  <c r="AL60" i="6"/>
  <c r="AL61" i="6" s="1"/>
  <c r="CS60" i="6"/>
  <c r="CS61" i="6" s="1"/>
  <c r="AK60" i="6"/>
  <c r="AK61" i="6" s="1"/>
  <c r="AZ60" i="6"/>
  <c r="AZ61" i="6" s="1"/>
  <c r="BO60" i="6"/>
  <c r="BO61" i="6" s="1"/>
  <c r="C60" i="6"/>
  <c r="C61" i="6" s="1"/>
  <c r="R60" i="6"/>
  <c r="R61" i="6" s="1"/>
  <c r="CM60" i="6"/>
  <c r="CM61" i="6" s="1"/>
  <c r="AR60" i="6"/>
  <c r="AR61" i="6" s="1"/>
  <c r="BG60" i="6"/>
  <c r="BG61" i="6" s="1"/>
  <c r="BV60" i="6"/>
  <c r="BV61" i="6" s="1"/>
  <c r="J60" i="6"/>
  <c r="J61" i="6" s="1"/>
  <c r="CI60" i="6"/>
  <c r="CI61" i="6" s="1"/>
  <c r="N60" i="6"/>
  <c r="N61" i="6" s="1"/>
  <c r="AT60" i="6"/>
  <c r="AT61" i="6" s="1"/>
  <c r="CK60" i="6"/>
  <c r="CK61" i="6" s="1"/>
  <c r="U60" i="6"/>
  <c r="U61" i="6" s="1"/>
  <c r="AJ60" i="6"/>
  <c r="AJ61" i="6" s="1"/>
  <c r="AY60" i="6"/>
  <c r="AY61" i="6" s="1"/>
  <c r="BN60" i="6"/>
  <c r="BN61" i="6" s="1"/>
  <c r="CJ60" i="6"/>
  <c r="CJ61" i="6" s="1"/>
  <c r="BY60" i="6"/>
  <c r="BY61" i="6" s="1"/>
  <c r="M60" i="6"/>
  <c r="M61" i="6" s="1"/>
  <c r="AB60" i="6"/>
  <c r="AB61" i="6" s="1"/>
  <c r="AQ60" i="6"/>
  <c r="AQ61" i="6" s="1"/>
  <c r="BF60" i="6"/>
  <c r="BF61" i="6" s="1"/>
  <c r="B60" i="6"/>
  <c r="B61" i="6" s="1"/>
  <c r="AC60" i="6"/>
  <c r="AC61" i="6" s="1"/>
  <c r="BX60" i="6"/>
  <c r="BX61" i="6" s="1"/>
  <c r="AD60" i="6"/>
  <c r="AD61" i="6" s="1"/>
  <c r="Q17" i="6"/>
  <c r="Q5" i="6" s="1"/>
  <c r="Q20" i="6" s="1"/>
  <c r="BL17" i="6"/>
  <c r="BL5" i="6" s="1"/>
  <c r="BL20" i="6" s="1"/>
  <c r="P17" i="6"/>
  <c r="P5" i="6" s="1"/>
  <c r="P20" i="6" s="1"/>
  <c r="AV17" i="6"/>
  <c r="AF17" i="6"/>
  <c r="AF5" i="6" s="1"/>
  <c r="AF20" i="6" s="1"/>
  <c r="AY17" i="6"/>
  <c r="CL60" i="6"/>
  <c r="CL61" i="6" s="1"/>
  <c r="F5" i="6"/>
  <c r="F20" i="6" s="1"/>
  <c r="N5" i="6"/>
  <c r="N20" i="6" s="1"/>
  <c r="AL5" i="6"/>
  <c r="AL20" i="6" s="1"/>
  <c r="BR5" i="6"/>
  <c r="BR20" i="6" s="1"/>
  <c r="AV5" i="6"/>
  <c r="AV20" i="6" s="1"/>
  <c r="I5" i="6"/>
  <c r="I20" i="6" s="1"/>
  <c r="AW5" i="6"/>
  <c r="AW20" i="6" s="1"/>
  <c r="BM5" i="6"/>
  <c r="BM20" i="6" s="1"/>
  <c r="AX5" i="6"/>
  <c r="AX20" i="6" s="1"/>
  <c r="AY5" i="6"/>
  <c r="AY20" i="6" s="1"/>
  <c r="CL5" i="6"/>
  <c r="CL20" i="6" s="1"/>
  <c r="CJ17" i="6"/>
  <c r="Y17" i="6"/>
  <c r="AH60" i="6"/>
  <c r="AH61" i="6" s="1"/>
  <c r="B17" i="6"/>
  <c r="J17" i="6"/>
  <c r="R17" i="6"/>
  <c r="Z17" i="6"/>
  <c r="AH17" i="6"/>
  <c r="AP17" i="6"/>
  <c r="BF17" i="6"/>
  <c r="BN17" i="6"/>
  <c r="BV17" i="6"/>
  <c r="CS17" i="6"/>
  <c r="C17" i="6"/>
  <c r="K17" i="6"/>
  <c r="S17" i="6"/>
  <c r="AA17" i="6"/>
  <c r="AI17" i="6"/>
  <c r="AQ17" i="6"/>
  <c r="BG17" i="6"/>
  <c r="BO17" i="6"/>
  <c r="BW17" i="6"/>
  <c r="CM17" i="6"/>
  <c r="D17" i="6"/>
  <c r="L17" i="6"/>
  <c r="T17" i="6"/>
  <c r="AB17" i="6"/>
  <c r="AJ17" i="6"/>
  <c r="AR17" i="6"/>
  <c r="AZ17" i="6"/>
  <c r="BH17" i="6"/>
  <c r="BP17" i="6"/>
  <c r="BX17" i="6"/>
  <c r="CN17" i="6"/>
  <c r="AO17" i="6"/>
  <c r="CK17" i="6"/>
  <c r="BQ60" i="6"/>
  <c r="BQ61" i="6" s="1"/>
  <c r="E17" i="6"/>
  <c r="M17" i="6"/>
  <c r="U17" i="6"/>
  <c r="AC17" i="6"/>
  <c r="AK17" i="6"/>
  <c r="AS17" i="6"/>
  <c r="BA17" i="6"/>
  <c r="BI17" i="6"/>
  <c r="BQ17" i="6"/>
  <c r="BY17" i="6"/>
  <c r="CO17" i="6"/>
  <c r="BR60" i="6"/>
  <c r="BR61" i="6" s="1"/>
  <c r="BJ60" i="6"/>
  <c r="BJ61" i="6" s="1"/>
  <c r="V17" i="6"/>
  <c r="AD17" i="6"/>
  <c r="AT17" i="6"/>
  <c r="BB17" i="6"/>
  <c r="BJ17" i="6"/>
  <c r="CH17" i="6"/>
  <c r="CP17" i="6"/>
  <c r="H17" i="6"/>
  <c r="X17" i="6"/>
  <c r="AN17" i="6"/>
  <c r="BD17" i="6"/>
  <c r="BT17" i="6"/>
  <c r="CR17" i="6"/>
  <c r="AG17" i="6"/>
  <c r="BE17" i="6"/>
  <c r="BU17" i="6"/>
  <c r="G17" i="6"/>
  <c r="O17" i="6"/>
  <c r="W17" i="6"/>
  <c r="AE17" i="6"/>
  <c r="AM17" i="6"/>
  <c r="AU17" i="6"/>
  <c r="BC17" i="6"/>
  <c r="BK17" i="6"/>
  <c r="BS17" i="6"/>
  <c r="CI17" i="6"/>
  <c r="CQ17" i="6"/>
  <c r="G60" i="6"/>
  <c r="G61" i="6" s="1"/>
  <c r="O60" i="6"/>
  <c r="O61" i="6" s="1"/>
  <c r="W60" i="6"/>
  <c r="W61" i="6" s="1"/>
  <c r="AE60" i="6"/>
  <c r="AE61" i="6" s="1"/>
  <c r="AM60" i="6"/>
  <c r="AM61" i="6" s="1"/>
  <c r="AU60" i="6"/>
  <c r="AU61" i="6" s="1"/>
  <c r="BC60" i="6"/>
  <c r="BC61" i="6" s="1"/>
  <c r="BK60" i="6"/>
  <c r="BK61" i="6" s="1"/>
  <c r="BS60" i="6"/>
  <c r="BS61" i="6" s="1"/>
  <c r="H60" i="6"/>
  <c r="H61" i="6" s="1"/>
  <c r="P60" i="6"/>
  <c r="P61" i="6" s="1"/>
  <c r="X60" i="6"/>
  <c r="X61" i="6" s="1"/>
  <c r="AF60" i="6"/>
  <c r="AF61" i="6" s="1"/>
  <c r="AN60" i="6"/>
  <c r="AN61" i="6" s="1"/>
  <c r="AV60" i="6"/>
  <c r="AV61" i="6" s="1"/>
  <c r="BD60" i="6"/>
  <c r="BD61" i="6" s="1"/>
  <c r="BL60" i="6"/>
  <c r="BL61" i="6" s="1"/>
  <c r="BT60" i="6"/>
  <c r="BT61" i="6" s="1"/>
  <c r="I60" i="6"/>
  <c r="I61" i="6" s="1"/>
  <c r="Q60" i="6"/>
  <c r="Q61" i="6" s="1"/>
  <c r="Y60" i="6"/>
  <c r="Y61" i="6" s="1"/>
  <c r="AG60" i="6"/>
  <c r="AG61" i="6" s="1"/>
  <c r="AO60" i="6"/>
  <c r="AO61" i="6" s="1"/>
  <c r="AW60" i="6"/>
  <c r="AW61" i="6" s="1"/>
  <c r="BE60" i="6"/>
  <c r="BE61" i="6" s="1"/>
  <c r="BM60" i="6"/>
  <c r="BM61" i="6" s="1"/>
  <c r="BU60" i="6"/>
  <c r="BU61" i="6" s="1"/>
  <c r="I19" i="6" l="1"/>
  <c r="AF19" i="6"/>
  <c r="P19" i="6"/>
  <c r="Q19" i="6"/>
  <c r="AX19" i="6"/>
  <c r="AY19" i="6"/>
  <c r="F19" i="6"/>
  <c r="W5" i="6"/>
  <c r="W20" i="6" s="1"/>
  <c r="BM55" i="6"/>
  <c r="BM22" i="6"/>
  <c r="BM23" i="6" s="1"/>
  <c r="BM21" i="6"/>
  <c r="V5" i="6"/>
  <c r="V20" i="6" s="1"/>
  <c r="V19" i="6"/>
  <c r="BI5" i="6"/>
  <c r="BI20" i="6" s="1"/>
  <c r="AB5" i="6"/>
  <c r="AB20" i="6" s="1"/>
  <c r="BW5" i="6"/>
  <c r="BW20" i="6" s="1"/>
  <c r="C5" i="6"/>
  <c r="C20" i="6" s="1"/>
  <c r="Z5" i="6"/>
  <c r="Z20" i="6" s="1"/>
  <c r="BM19" i="6"/>
  <c r="BL19" i="6"/>
  <c r="BR19" i="6"/>
  <c r="BT5" i="6"/>
  <c r="BT20" i="6" s="1"/>
  <c r="CP5" i="6"/>
  <c r="CP20" i="6" s="1"/>
  <c r="L5" i="6"/>
  <c r="L20" i="6" s="1"/>
  <c r="BG5" i="6"/>
  <c r="BG20" i="6" s="1"/>
  <c r="J5" i="6"/>
  <c r="J20" i="6" s="1"/>
  <c r="CL19" i="6"/>
  <c r="AW19" i="6"/>
  <c r="AV19" i="6"/>
  <c r="AL19" i="6"/>
  <c r="BQ5" i="6"/>
  <c r="BQ20" i="6" s="1"/>
  <c r="K5" i="6"/>
  <c r="K20" i="6" s="1"/>
  <c r="BL55" i="6"/>
  <c r="BL22" i="6"/>
  <c r="BL23" i="6" s="1"/>
  <c r="BL21" i="6"/>
  <c r="CI5" i="6"/>
  <c r="CI20" i="6" s="1"/>
  <c r="CR5" i="6"/>
  <c r="CR20" i="6" s="1"/>
  <c r="BA5" i="6"/>
  <c r="BA20" i="6" s="1"/>
  <c r="BO5" i="6"/>
  <c r="BO20" i="6" s="1"/>
  <c r="AV55" i="6"/>
  <c r="AV22" i="6"/>
  <c r="AV23" i="6" s="1"/>
  <c r="AV21" i="6"/>
  <c r="BC5" i="6"/>
  <c r="BC20" i="6" s="1"/>
  <c r="BU5" i="6"/>
  <c r="BU20" i="6" s="1"/>
  <c r="AN5" i="6"/>
  <c r="AN20" i="6" s="1"/>
  <c r="CH5" i="6"/>
  <c r="CH20" i="6" s="1"/>
  <c r="CH55" i="6" s="1"/>
  <c r="AK5" i="6"/>
  <c r="AK20" i="6" s="1"/>
  <c r="BP5" i="6"/>
  <c r="BP20" i="6" s="1"/>
  <c r="D5" i="6"/>
  <c r="D20" i="6" s="1"/>
  <c r="AQ5" i="6"/>
  <c r="AQ20" i="6" s="1"/>
  <c r="AQ19" i="6"/>
  <c r="BV5" i="6"/>
  <c r="BV20" i="6" s="1"/>
  <c r="B5" i="6"/>
  <c r="B20" i="6" s="1"/>
  <c r="B55" i="6" s="1"/>
  <c r="CJ5" i="6"/>
  <c r="CJ20" i="6" s="1"/>
  <c r="AY55" i="6"/>
  <c r="AY21" i="6"/>
  <c r="AY22" i="6"/>
  <c r="AY23" i="6" s="1"/>
  <c r="Q55" i="6"/>
  <c r="Q22" i="6"/>
  <c r="Q23" i="6" s="1"/>
  <c r="Q21" i="6"/>
  <c r="AF55" i="6"/>
  <c r="AF22" i="6"/>
  <c r="AF23" i="6" s="1"/>
  <c r="AF21" i="6"/>
  <c r="N19" i="6"/>
  <c r="E5" i="6"/>
  <c r="E20" i="6" s="1"/>
  <c r="AH5" i="6"/>
  <c r="AH20" i="6" s="1"/>
  <c r="BS5" i="6"/>
  <c r="BS20" i="6" s="1"/>
  <c r="T5" i="6"/>
  <c r="T20" i="6" s="1"/>
  <c r="AL55" i="6"/>
  <c r="AL22" i="6"/>
  <c r="AL23" i="6" s="1"/>
  <c r="AL21" i="6"/>
  <c r="BX5" i="6"/>
  <c r="BX20" i="6" s="1"/>
  <c r="AU5" i="6"/>
  <c r="AU20" i="6" s="1"/>
  <c r="BH5" i="6"/>
  <c r="BH20" i="6" s="1"/>
  <c r="BN5" i="6"/>
  <c r="BN20" i="6" s="1"/>
  <c r="N22" i="6"/>
  <c r="N23" i="6" s="1"/>
  <c r="N55" i="6"/>
  <c r="N21" i="6"/>
  <c r="CM5" i="6"/>
  <c r="CM20" i="6" s="1"/>
  <c r="BR55" i="6"/>
  <c r="BR21" i="6"/>
  <c r="BR22" i="6"/>
  <c r="BR23" i="6" s="1"/>
  <c r="O5" i="6"/>
  <c r="O20" i="6" s="1"/>
  <c r="CN5" i="6"/>
  <c r="CN20" i="6" s="1"/>
  <c r="R5" i="6"/>
  <c r="R20" i="6" s="1"/>
  <c r="CL22" i="6"/>
  <c r="CL23" i="6" s="1"/>
  <c r="CL55" i="6"/>
  <c r="CL21" i="6"/>
  <c r="BK5" i="6"/>
  <c r="BK20" i="6" s="1"/>
  <c r="BJ5" i="6"/>
  <c r="BJ20" i="6" s="1"/>
  <c r="AM5" i="6"/>
  <c r="AM20" i="6" s="1"/>
  <c r="AG5" i="6"/>
  <c r="AG20" i="6" s="1"/>
  <c r="H5" i="6"/>
  <c r="H20" i="6" s="1"/>
  <c r="BB5" i="6"/>
  <c r="BB20" i="6" s="1"/>
  <c r="CO5" i="6"/>
  <c r="CO20" i="6" s="1"/>
  <c r="CO19" i="6"/>
  <c r="U5" i="6"/>
  <c r="U20" i="6" s="1"/>
  <c r="CK5" i="6"/>
  <c r="CK20" i="6" s="1"/>
  <c r="AZ5" i="6"/>
  <c r="AZ20" i="6" s="1"/>
  <c r="AA5" i="6"/>
  <c r="AA20" i="6" s="1"/>
  <c r="BF5" i="6"/>
  <c r="BF20" i="6" s="1"/>
  <c r="AX21" i="6"/>
  <c r="AX22" i="6"/>
  <c r="AX23" i="6" s="1"/>
  <c r="AX55" i="6"/>
  <c r="I55" i="6"/>
  <c r="I22" i="6"/>
  <c r="I23" i="6" s="1"/>
  <c r="I21" i="6"/>
  <c r="P55" i="6"/>
  <c r="P22" i="6"/>
  <c r="P23" i="6" s="1"/>
  <c r="P21" i="6"/>
  <c r="F55" i="6"/>
  <c r="F21" i="6"/>
  <c r="F22" i="6"/>
  <c r="F23" i="6" s="1"/>
  <c r="CQ5" i="6"/>
  <c r="CQ20" i="6" s="1"/>
  <c r="AD5" i="6"/>
  <c r="AD20" i="6" s="1"/>
  <c r="AJ5" i="6"/>
  <c r="AJ20" i="6" s="1"/>
  <c r="Y5" i="6"/>
  <c r="Y20" i="6" s="1"/>
  <c r="G5" i="6"/>
  <c r="G20" i="6" s="1"/>
  <c r="CS5" i="6"/>
  <c r="CS20" i="6" s="1"/>
  <c r="AW55" i="6"/>
  <c r="AW22" i="6"/>
  <c r="AW23" i="6" s="1"/>
  <c r="AW21" i="6"/>
  <c r="BD5" i="6"/>
  <c r="BD20" i="6" s="1"/>
  <c r="AS5" i="6"/>
  <c r="AS20" i="6" s="1"/>
  <c r="BE5" i="6"/>
  <c r="BE20" i="6" s="1"/>
  <c r="X5" i="6"/>
  <c r="X20" i="6" s="1"/>
  <c r="AC5" i="6"/>
  <c r="AC20" i="6" s="1"/>
  <c r="AI5" i="6"/>
  <c r="AI20" i="6" s="1"/>
  <c r="AE5" i="6"/>
  <c r="AE20" i="6" s="1"/>
  <c r="AT5" i="6"/>
  <c r="AT20" i="6" s="1"/>
  <c r="BY5" i="6"/>
  <c r="BY20" i="6" s="1"/>
  <c r="M5" i="6"/>
  <c r="M20" i="6" s="1"/>
  <c r="AO5" i="6"/>
  <c r="AO20" i="6" s="1"/>
  <c r="AR5" i="6"/>
  <c r="AR20" i="6" s="1"/>
  <c r="S5" i="6"/>
  <c r="S20" i="6" s="1"/>
  <c r="AP5" i="6"/>
  <c r="AP20" i="6" s="1"/>
  <c r="AR19" i="6" l="1"/>
  <c r="U19" i="6"/>
  <c r="AT19" i="6"/>
  <c r="CH19" i="6"/>
  <c r="BJ19" i="6"/>
  <c r="BY19" i="6"/>
  <c r="BB19" i="6"/>
  <c r="J19" i="6"/>
  <c r="Z19" i="6"/>
  <c r="CP19" i="6"/>
  <c r="AD19" i="6"/>
  <c r="CN19" i="6"/>
  <c r="AP19" i="6"/>
  <c r="AS19" i="6"/>
  <c r="BC19" i="6"/>
  <c r="CI19" i="6"/>
  <c r="W19" i="6"/>
  <c r="BK19" i="6"/>
  <c r="BO19" i="6"/>
  <c r="K19" i="6"/>
  <c r="BI19" i="6"/>
  <c r="AU19" i="6"/>
  <c r="BE19" i="6"/>
  <c r="AO19" i="6"/>
  <c r="M19" i="6"/>
  <c r="CQ19" i="6"/>
  <c r="CR19" i="6"/>
  <c r="L19" i="6"/>
  <c r="B22" i="6"/>
  <c r="B23" i="6" s="1"/>
  <c r="B21" i="6"/>
  <c r="AI55" i="6"/>
  <c r="AI21" i="6"/>
  <c r="AI22" i="6"/>
  <c r="AI23" i="6" s="1"/>
  <c r="BF19" i="6"/>
  <c r="BN22" i="6"/>
  <c r="BN23" i="6" s="1"/>
  <c r="BN55" i="6"/>
  <c r="BN21" i="6"/>
  <c r="BP19" i="6"/>
  <c r="BL58" i="6"/>
  <c r="BL56" i="6"/>
  <c r="AP21" i="6"/>
  <c r="AP22" i="6"/>
  <c r="AP23" i="6" s="1"/>
  <c r="AP55" i="6"/>
  <c r="BN19" i="6"/>
  <c r="E55" i="6"/>
  <c r="E21" i="6"/>
  <c r="E22" i="6"/>
  <c r="E23" i="6" s="1"/>
  <c r="Q58" i="6"/>
  <c r="Q56" i="6"/>
  <c r="BV55" i="6"/>
  <c r="BV21" i="6"/>
  <c r="BV22" i="6"/>
  <c r="BV23" i="6" s="1"/>
  <c r="AK55" i="6"/>
  <c r="AK21" i="6"/>
  <c r="AK22" i="6"/>
  <c r="AK23" i="6" s="1"/>
  <c r="BA19" i="6"/>
  <c r="BT55" i="6"/>
  <c r="BT22" i="6"/>
  <c r="BT23" i="6" s="1"/>
  <c r="BT21" i="6"/>
  <c r="C19" i="6"/>
  <c r="V55" i="6"/>
  <c r="V21" i="6"/>
  <c r="V22" i="6"/>
  <c r="V23" i="6" s="1"/>
  <c r="AG55" i="6"/>
  <c r="AG22" i="6"/>
  <c r="AG23" i="6" s="1"/>
  <c r="AG21" i="6"/>
  <c r="AH55" i="6"/>
  <c r="AH21" i="6"/>
  <c r="AH22" i="6"/>
  <c r="AH23" i="6" s="1"/>
  <c r="B19" i="6"/>
  <c r="M55" i="6"/>
  <c r="M22" i="6"/>
  <c r="M23" i="6" s="1"/>
  <c r="M21" i="6"/>
  <c r="AC55" i="6"/>
  <c r="AC22" i="6"/>
  <c r="AC23" i="6" s="1"/>
  <c r="AC21" i="6"/>
  <c r="AA19" i="6"/>
  <c r="AM19" i="6"/>
  <c r="BR58" i="6"/>
  <c r="BR56" i="6"/>
  <c r="BH55" i="6"/>
  <c r="BH21" i="6"/>
  <c r="BH22" i="6"/>
  <c r="BH23" i="6" s="1"/>
  <c r="AL58" i="6"/>
  <c r="AL56" i="6"/>
  <c r="E19" i="6"/>
  <c r="BV19" i="6"/>
  <c r="AK19" i="6"/>
  <c r="BC55" i="6"/>
  <c r="BC22" i="6"/>
  <c r="BC23" i="6" s="1"/>
  <c r="BC21" i="6"/>
  <c r="CR55" i="6"/>
  <c r="CR22" i="6"/>
  <c r="CR23" i="6" s="1"/>
  <c r="CR21" i="6"/>
  <c r="K21" i="6"/>
  <c r="K22" i="6"/>
  <c r="K23" i="6" s="1"/>
  <c r="K55" i="6"/>
  <c r="J55" i="6"/>
  <c r="J21" i="6"/>
  <c r="J22" i="6"/>
  <c r="J23" i="6" s="1"/>
  <c r="BT19" i="6"/>
  <c r="BW19" i="6"/>
  <c r="AE55" i="6"/>
  <c r="AE22" i="6"/>
  <c r="AE23" i="6" s="1"/>
  <c r="AE21" i="6"/>
  <c r="BF55" i="6"/>
  <c r="BF21" i="6"/>
  <c r="BF22" i="6"/>
  <c r="BF23" i="6" s="1"/>
  <c r="O55" i="6"/>
  <c r="O22" i="6"/>
  <c r="O23" i="6" s="1"/>
  <c r="O21" i="6"/>
  <c r="U55" i="6"/>
  <c r="U21" i="6"/>
  <c r="U22" i="6"/>
  <c r="U23" i="6" s="1"/>
  <c r="CP55" i="6"/>
  <c r="CP21" i="6"/>
  <c r="CP22" i="6"/>
  <c r="CP23" i="6" s="1"/>
  <c r="AI19" i="6"/>
  <c r="AA22" i="6"/>
  <c r="AA23" i="6" s="1"/>
  <c r="AA21" i="6"/>
  <c r="AA55" i="6"/>
  <c r="S55" i="6"/>
  <c r="S21" i="6"/>
  <c r="S22" i="6"/>
  <c r="S23" i="6" s="1"/>
  <c r="BY55" i="6"/>
  <c r="BY22" i="6"/>
  <c r="BY23" i="6" s="1"/>
  <c r="BY21" i="6"/>
  <c r="CM55" i="6"/>
  <c r="CM21" i="6"/>
  <c r="CM22" i="6"/>
  <c r="CM23" i="6" s="1"/>
  <c r="BG55" i="6"/>
  <c r="BG21" i="6"/>
  <c r="BG22" i="6"/>
  <c r="BG23" i="6" s="1"/>
  <c r="Y19" i="6"/>
  <c r="AZ19" i="6"/>
  <c r="BB55" i="6"/>
  <c r="BB22" i="6"/>
  <c r="BB23" i="6" s="1"/>
  <c r="BB21" i="6"/>
  <c r="BJ55" i="6"/>
  <c r="BJ21" i="6"/>
  <c r="BJ22" i="6"/>
  <c r="BJ23" i="6" s="1"/>
  <c r="CM19" i="6"/>
  <c r="T19" i="6"/>
  <c r="AY58" i="6"/>
  <c r="AY56" i="6"/>
  <c r="AQ55" i="6"/>
  <c r="AQ21" i="6"/>
  <c r="AQ22" i="6"/>
  <c r="AQ23" i="6" s="1"/>
  <c r="CH21" i="6"/>
  <c r="CH22" i="6"/>
  <c r="CH23" i="6" s="1"/>
  <c r="BQ19" i="6"/>
  <c r="BG19" i="6"/>
  <c r="AB55" i="6"/>
  <c r="AB21" i="6"/>
  <c r="AB22" i="6"/>
  <c r="AB23" i="6" s="1"/>
  <c r="BM58" i="6"/>
  <c r="BM56" i="6"/>
  <c r="BX55" i="6"/>
  <c r="BX21" i="6"/>
  <c r="BX22" i="6"/>
  <c r="BX23" i="6" s="1"/>
  <c r="BU55" i="6"/>
  <c r="BU22" i="6"/>
  <c r="BU23" i="6" s="1"/>
  <c r="BU21" i="6"/>
  <c r="CS19" i="6"/>
  <c r="P58" i="6"/>
  <c r="P56" i="6"/>
  <c r="AG19" i="6"/>
  <c r="BU19" i="6"/>
  <c r="C55" i="6"/>
  <c r="C21" i="6"/>
  <c r="C22" i="6"/>
  <c r="C23" i="6" s="1"/>
  <c r="AS55" i="6"/>
  <c r="AS21" i="6"/>
  <c r="AS22" i="6"/>
  <c r="AS23" i="6" s="1"/>
  <c r="AM55" i="6"/>
  <c r="AM22" i="6"/>
  <c r="AM23" i="6" s="1"/>
  <c r="AM21" i="6"/>
  <c r="CQ55" i="6"/>
  <c r="CQ22" i="6"/>
  <c r="CQ23" i="6" s="1"/>
  <c r="CQ21" i="6"/>
  <c r="R55" i="6"/>
  <c r="R21" i="6"/>
  <c r="R22" i="6"/>
  <c r="R23" i="6" s="1"/>
  <c r="AC19" i="6"/>
  <c r="BD19" i="6"/>
  <c r="I58" i="6"/>
  <c r="I56" i="6"/>
  <c r="R19" i="6"/>
  <c r="T55" i="6"/>
  <c r="T21" i="6"/>
  <c r="T22" i="6"/>
  <c r="T23" i="6" s="1"/>
  <c r="BQ55" i="6"/>
  <c r="BQ21" i="6"/>
  <c r="BQ22" i="6"/>
  <c r="BQ23" i="6" s="1"/>
  <c r="BW21" i="6"/>
  <c r="BW22" i="6"/>
  <c r="BW23" i="6" s="1"/>
  <c r="BW55" i="6"/>
  <c r="X55" i="6"/>
  <c r="X22" i="6"/>
  <c r="X23" i="6" s="1"/>
  <c r="X21" i="6"/>
  <c r="AR55" i="6"/>
  <c r="AR21" i="6"/>
  <c r="AR22" i="6"/>
  <c r="AR23" i="6" s="1"/>
  <c r="X19" i="6"/>
  <c r="AJ55" i="6"/>
  <c r="AJ21" i="6"/>
  <c r="AJ22" i="6"/>
  <c r="AJ23" i="6" s="1"/>
  <c r="F58" i="6"/>
  <c r="F56" i="6"/>
  <c r="CK55" i="6"/>
  <c r="CK22" i="6"/>
  <c r="CK23" i="6" s="1"/>
  <c r="CK21" i="6"/>
  <c r="H55" i="6"/>
  <c r="H22" i="6"/>
  <c r="H23" i="6" s="1"/>
  <c r="H21" i="6"/>
  <c r="CN55" i="6"/>
  <c r="CN21" i="6"/>
  <c r="CN22" i="6"/>
  <c r="CN23" i="6" s="1"/>
  <c r="AU55" i="6"/>
  <c r="AU22" i="6"/>
  <c r="AU23" i="6" s="1"/>
  <c r="AU21" i="6"/>
  <c r="BS55" i="6"/>
  <c r="BS22" i="6"/>
  <c r="BS23" i="6" s="1"/>
  <c r="BS21" i="6"/>
  <c r="CJ55" i="6"/>
  <c r="CJ22" i="6"/>
  <c r="CJ23" i="6" s="1"/>
  <c r="CJ21" i="6"/>
  <c r="D55" i="6"/>
  <c r="D22" i="6"/>
  <c r="D23" i="6" s="1"/>
  <c r="D21" i="6"/>
  <c r="AN55" i="6"/>
  <c r="AN22" i="6"/>
  <c r="AN23" i="6" s="1"/>
  <c r="AN21" i="6"/>
  <c r="AV58" i="6"/>
  <c r="AV56" i="6"/>
  <c r="CI55" i="6"/>
  <c r="CI22" i="6"/>
  <c r="CI23" i="6" s="1"/>
  <c r="CI21" i="6"/>
  <c r="AB19" i="6"/>
  <c r="CS55" i="6"/>
  <c r="CS22" i="6"/>
  <c r="CS23" i="6" s="1"/>
  <c r="CS21" i="6"/>
  <c r="BP55" i="6"/>
  <c r="BP21" i="6"/>
  <c r="BP22" i="6"/>
  <c r="BP23" i="6" s="1"/>
  <c r="AD55" i="6"/>
  <c r="AD21" i="6"/>
  <c r="AD22" i="6"/>
  <c r="AD23" i="6" s="1"/>
  <c r="CL58" i="6"/>
  <c r="CL56" i="6"/>
  <c r="AH19" i="6"/>
  <c r="BA55" i="6"/>
  <c r="BA21" i="6"/>
  <c r="BA22" i="6"/>
  <c r="BA23" i="6" s="1"/>
  <c r="G55" i="6"/>
  <c r="G22" i="6"/>
  <c r="G23" i="6" s="1"/>
  <c r="G21" i="6"/>
  <c r="BD55" i="6"/>
  <c r="BD22" i="6"/>
  <c r="BD23" i="6" s="1"/>
  <c r="BD21" i="6"/>
  <c r="G19" i="6"/>
  <c r="CO55" i="6"/>
  <c r="CO21" i="6"/>
  <c r="CO22" i="6"/>
  <c r="CO23" i="6" s="1"/>
  <c r="S19" i="6"/>
  <c r="Y55" i="6"/>
  <c r="Y22" i="6"/>
  <c r="Y23" i="6" s="1"/>
  <c r="Y21" i="6"/>
  <c r="AZ55" i="6"/>
  <c r="AZ22" i="6"/>
  <c r="AZ23" i="6" s="1"/>
  <c r="AZ21" i="6"/>
  <c r="BH19" i="6"/>
  <c r="AX58" i="6"/>
  <c r="AX56" i="6"/>
  <c r="AT21" i="6"/>
  <c r="AT22" i="6"/>
  <c r="AT23" i="6" s="1"/>
  <c r="AT55" i="6"/>
  <c r="AO55" i="6"/>
  <c r="AO22" i="6"/>
  <c r="AO23" i="6" s="1"/>
  <c r="AO21" i="6"/>
  <c r="AE19" i="6"/>
  <c r="BE55" i="6"/>
  <c r="BE22" i="6"/>
  <c r="BE23" i="6" s="1"/>
  <c r="BE21" i="6"/>
  <c r="AW58" i="6"/>
  <c r="AW56" i="6"/>
  <c r="AJ19" i="6"/>
  <c r="CK19" i="6"/>
  <c r="H19" i="6"/>
  <c r="BK55" i="6"/>
  <c r="BK22" i="6"/>
  <c r="BK23" i="6" s="1"/>
  <c r="BK21" i="6"/>
  <c r="O19" i="6"/>
  <c r="N56" i="6"/>
  <c r="N58" i="6"/>
  <c r="BX19" i="6"/>
  <c r="BS19" i="6"/>
  <c r="AF58" i="6"/>
  <c r="AF56" i="6"/>
  <c r="CJ19" i="6"/>
  <c r="D19" i="6"/>
  <c r="AN19" i="6"/>
  <c r="BO55" i="6"/>
  <c r="BO21" i="6"/>
  <c r="BO22" i="6"/>
  <c r="BO23" i="6" s="1"/>
  <c r="L55" i="6"/>
  <c r="L21" i="6"/>
  <c r="L22" i="6"/>
  <c r="L23" i="6" s="1"/>
  <c r="Z21" i="6"/>
  <c r="Z22" i="6"/>
  <c r="Z23" i="6" s="1"/>
  <c r="Z55" i="6"/>
  <c r="BI55" i="6"/>
  <c r="BI21" i="6"/>
  <c r="BI22" i="6"/>
  <c r="BI23" i="6" s="1"/>
  <c r="W55" i="6"/>
  <c r="W22" i="6"/>
  <c r="W23" i="6" s="1"/>
  <c r="W21" i="6"/>
  <c r="BE58" i="6" l="1"/>
  <c r="BE56" i="6"/>
  <c r="BJ56" i="6"/>
  <c r="BJ58" i="6"/>
  <c r="AH56" i="6"/>
  <c r="AH58" i="6"/>
  <c r="AC58" i="6"/>
  <c r="AC56" i="6"/>
  <c r="CS58" i="6"/>
  <c r="CS56" i="6"/>
  <c r="AA58" i="6"/>
  <c r="AA56" i="6"/>
  <c r="K56" i="6"/>
  <c r="K58" i="6"/>
  <c r="BC58" i="6"/>
  <c r="BC56" i="6"/>
  <c r="BH58" i="6"/>
  <c r="BH56" i="6"/>
  <c r="BT58" i="6"/>
  <c r="BT56" i="6"/>
  <c r="L58" i="6"/>
  <c r="L56" i="6"/>
  <c r="Y58" i="6"/>
  <c r="Y56" i="6"/>
  <c r="CK58" i="6"/>
  <c r="CK56" i="6"/>
  <c r="CP56" i="6"/>
  <c r="CP58" i="6"/>
  <c r="C58" i="6"/>
  <c r="C56" i="6"/>
  <c r="S58" i="6"/>
  <c r="S56" i="6"/>
  <c r="Z58" i="6"/>
  <c r="Z56" i="6"/>
  <c r="BO58" i="6"/>
  <c r="BO56" i="6"/>
  <c r="G58" i="6"/>
  <c r="G56" i="6"/>
  <c r="AN58" i="6"/>
  <c r="AN56" i="6"/>
  <c r="AM58" i="6"/>
  <c r="AM56" i="6"/>
  <c r="BB56" i="6"/>
  <c r="BB58" i="6"/>
  <c r="CM56" i="6"/>
  <c r="CM58" i="6"/>
  <c r="U58" i="6"/>
  <c r="U56" i="6"/>
  <c r="AG58" i="6"/>
  <c r="AG56" i="6"/>
  <c r="AQ56" i="6"/>
  <c r="AQ58" i="6"/>
  <c r="BV58" i="6"/>
  <c r="BV56" i="6"/>
  <c r="AO58" i="6"/>
  <c r="AO56" i="6"/>
  <c r="AD58" i="6"/>
  <c r="AD56" i="6"/>
  <c r="X58" i="6"/>
  <c r="X56" i="6"/>
  <c r="BX58" i="6"/>
  <c r="BX56" i="6"/>
  <c r="AE58" i="6"/>
  <c r="AE56" i="6"/>
  <c r="M58" i="6"/>
  <c r="M56" i="6"/>
  <c r="AI58" i="6"/>
  <c r="AI56" i="6"/>
  <c r="CQ58" i="6"/>
  <c r="CQ56" i="6"/>
  <c r="AB58" i="6"/>
  <c r="AB56" i="6"/>
  <c r="BF56" i="6"/>
  <c r="BF58" i="6"/>
  <c r="H58" i="6"/>
  <c r="H56" i="6"/>
  <c r="AJ58" i="6"/>
  <c r="AJ56" i="6"/>
  <c r="BW56" i="6"/>
  <c r="BW58" i="6"/>
  <c r="T58" i="6"/>
  <c r="T56" i="6"/>
  <c r="R58" i="6"/>
  <c r="R56" i="6"/>
  <c r="B56" i="6"/>
  <c r="B58" i="6"/>
  <c r="BK58" i="6"/>
  <c r="BK56" i="6"/>
  <c r="BD58" i="6"/>
  <c r="BD56" i="6"/>
  <c r="BG58" i="6"/>
  <c r="BG56" i="6"/>
  <c r="AR58" i="6"/>
  <c r="AR56" i="6"/>
  <c r="BU58" i="6"/>
  <c r="BU56" i="6"/>
  <c r="BI58" i="6"/>
  <c r="BI56" i="6"/>
  <c r="CN58" i="6"/>
  <c r="CN56" i="6"/>
  <c r="CO58" i="6"/>
  <c r="CO56" i="6"/>
  <c r="AZ58" i="6"/>
  <c r="AZ56" i="6"/>
  <c r="D58" i="6"/>
  <c r="D56" i="6"/>
  <c r="AS58" i="6"/>
  <c r="AS56" i="6"/>
  <c r="CH58" i="6"/>
  <c r="CH56" i="6"/>
  <c r="BY58" i="6"/>
  <c r="BY56" i="6"/>
  <c r="O58" i="6"/>
  <c r="O56" i="6"/>
  <c r="V58" i="6"/>
  <c r="V56" i="6"/>
  <c r="AK58" i="6"/>
  <c r="AK56" i="6"/>
  <c r="E58" i="6"/>
  <c r="E56" i="6"/>
  <c r="AP56" i="6"/>
  <c r="AP58" i="6"/>
  <c r="CJ58" i="6"/>
  <c r="CJ56" i="6"/>
  <c r="J58" i="6"/>
  <c r="J56" i="6"/>
  <c r="BQ58" i="6"/>
  <c r="BQ56" i="6"/>
  <c r="BS58" i="6"/>
  <c r="BS56" i="6"/>
  <c r="AT58" i="6"/>
  <c r="AT56" i="6"/>
  <c r="BA58" i="6"/>
  <c r="BA56" i="6"/>
  <c r="CI58" i="6"/>
  <c r="CI56" i="6"/>
  <c r="W58" i="6"/>
  <c r="W56" i="6"/>
  <c r="BP58" i="6"/>
  <c r="BP56" i="6"/>
  <c r="AU58" i="6"/>
  <c r="AU56" i="6"/>
  <c r="CR58" i="6"/>
  <c r="CR56" i="6"/>
  <c r="BN58" i="6"/>
  <c r="BN56" i="6"/>
</calcChain>
</file>

<file path=xl/sharedStrings.xml><?xml version="1.0" encoding="utf-8"?>
<sst xmlns="http://schemas.openxmlformats.org/spreadsheetml/2006/main" count="240" uniqueCount="62">
  <si>
    <t>Sales</t>
  </si>
  <si>
    <t>Cost of Sales</t>
  </si>
  <si>
    <t>Material</t>
  </si>
  <si>
    <t>Labour</t>
  </si>
  <si>
    <t>Depreciation</t>
  </si>
  <si>
    <t>Electricity</t>
  </si>
  <si>
    <t>Others Mfg. overheads</t>
  </si>
  <si>
    <t>Actual Direct Cost Spent</t>
  </si>
  <si>
    <t>Dir.Cost in Stock/Stock Adj.</t>
  </si>
  <si>
    <t>Direct cost as % of C.O.G.S</t>
  </si>
  <si>
    <t>Gross profit (after Depn.)</t>
  </si>
  <si>
    <t>Selling expenses</t>
  </si>
  <si>
    <t>Transportation</t>
  </si>
  <si>
    <t>Bank interest</t>
  </si>
  <si>
    <t>Bank charges</t>
  </si>
  <si>
    <t>R &amp; D, pre-production w/o</t>
  </si>
  <si>
    <t>Other Income</t>
  </si>
  <si>
    <t>Net Profit</t>
  </si>
  <si>
    <t>Total Below GP Expenses</t>
  </si>
  <si>
    <t>Actual</t>
  </si>
  <si>
    <t>Budget</t>
  </si>
  <si>
    <t>Material cost as % of Sales</t>
  </si>
  <si>
    <t>Sales volume  (kg)</t>
  </si>
  <si>
    <t xml:space="preserve">Production volume (kg) </t>
  </si>
  <si>
    <t>Dir.Cost of  goods sold</t>
  </si>
  <si>
    <t>Dir.Cost of  goods sold  (SEWA disputed amt)</t>
  </si>
  <si>
    <t>Gross profit (after Depn.)  %</t>
  </si>
  <si>
    <t>Gross profit (before Depn.)</t>
  </si>
  <si>
    <t>Gross profit (before Depn.) %</t>
  </si>
  <si>
    <t>Sales ManpowerCost</t>
  </si>
  <si>
    <t>Sales Man Incentive</t>
  </si>
  <si>
    <t>Sales Office Rent</t>
  </si>
  <si>
    <t>Sales Travel and AirFare</t>
  </si>
  <si>
    <t>Advt / Exbn / Other Promotion</t>
  </si>
  <si>
    <t>Other Selling Expenses</t>
  </si>
  <si>
    <t>Administration Man Power Cost</t>
  </si>
  <si>
    <t>Telephone / Fax</t>
  </si>
  <si>
    <t>Other Administration Cost</t>
  </si>
  <si>
    <t xml:space="preserve">Administration </t>
  </si>
  <si>
    <t>Adj to Stock Prov.-Divn/Stock Valuation</t>
  </si>
  <si>
    <t>Net Profit 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</si>
  <si>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</si>
  <si>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</si>
  <si>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</si>
  <si>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</si>
  <si>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</si>
  <si>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</si>
  <si>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</si>
  <si>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</si>
  <si>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</si>
  <si>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</si>
  <si>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</si>
  <si>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</si>
  <si>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Ledgers</t>
  </si>
  <si>
    <t xml:space="preserve">EBITDA </t>
  </si>
  <si>
    <t>EBITDA  %</t>
  </si>
  <si>
    <t>Total Expenses</t>
  </si>
  <si>
    <t>Total Expenses /Kg</t>
  </si>
  <si>
    <t>Total FinanceCost &amp; Amortization</t>
  </si>
  <si>
    <t>Other Provision</t>
  </si>
  <si>
    <t>Administration &amp; Management Fee</t>
  </si>
  <si>
    <t>Bad debts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</si>
</sst>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00"/>
    <numFmt numFmtId="166" formatCode="_(* #,##0_);_(* \(#,##0\);_(* &quot;-&quot;??_);_(@_)"/>
    <numFmt numFmtId="167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32">
    <xf numFmtId="0" fontId="0" fillId="0" borderId="0" xfId="0"/>
    <xf numFmtId="164" fontId="1" fillId="0" borderId="1" xfId="1" applyNumberFormat="1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37" fontId="3" fillId="0" borderId="0" xfId="0" applyNumberFormat="1" applyFont="1"/>
    <xf numFmtId="37" fontId="3" fillId="0" borderId="0" xfId="0" applyNumberFormat="1" applyFont="1" applyAlignment="1">
      <alignment horizontal="left" vertical="center" wrapText="1"/>
    </xf>
    <xf numFmtId="37" fontId="4" fillId="0" borderId="0" xfId="0" applyNumberFormat="1" applyFont="1"/>
    <xf numFmtId="0" fontId="1" fillId="0" borderId="2" xfId="0" applyFont="1" applyBorder="1" applyAlignment="1">
      <alignment horizontal="center" vertical="center"/>
    </xf>
    <xf numFmtId="10" fontId="5" fillId="0" borderId="0" xfId="2" applyNumberFormat="1" applyFont="1"/>
    <xf numFmtId="164" fontId="5" fillId="0" borderId="0" xfId="0" applyNumberFormat="1" applyFont="1"/>
    <xf numFmtId="164" fontId="6" fillId="0" borderId="1" xfId="1" applyNumberFormat="1" applyFont="1" applyBorder="1"/>
    <xf numFmtId="10" fontId="6" fillId="0" borderId="1" xfId="2" applyNumberFormat="1" applyFont="1" applyBorder="1"/>
    <xf numFmtId="164" fontId="2" fillId="0" borderId="1" xfId="1" applyNumberFormat="1" applyFont="1" applyBorder="1"/>
    <xf numFmtId="164" fontId="6" fillId="0" borderId="0" xfId="0" applyNumberFormat="1" applyFont="1"/>
    <xf numFmtId="164" fontId="5" fillId="0" borderId="1" xfId="1" applyNumberFormat="1" applyFont="1" applyBorder="1"/>
    <xf numFmtId="0" fontId="1" fillId="0" borderId="0" xfId="0" applyFont="1"/>
    <xf numFmtId="165" fontId="0" fillId="0" borderId="0" xfId="0" applyNumberFormat="1"/>
    <xf numFmtId="164" fontId="1" fillId="0" borderId="1" xfId="0" applyNumberFormat="1" applyFont="1" applyBorder="1"/>
    <xf numFmtId="166" fontId="7" fillId="0" borderId="3" xfId="1" applyNumberFormat="1" applyFont="1" applyBorder="1"/>
    <xf numFmtId="166" fontId="7" fillId="0" borderId="3" xfId="0" applyNumberFormat="1" applyFont="1" applyBorder="1"/>
    <xf numFmtId="10" fontId="7" fillId="0" borderId="3" xfId="2" applyNumberFormat="1" applyFont="1" applyBorder="1"/>
    <xf numFmtId="164" fontId="10" fillId="0" borderId="3" xfId="1" applyNumberFormat="1" applyFont="1" applyBorder="1"/>
    <xf numFmtId="166" fontId="11" fillId="0" borderId="3" xfId="0" applyNumberFormat="1" applyFont="1" applyBorder="1"/>
    <xf numFmtId="10" fontId="11" fillId="0" borderId="3" xfId="2" applyNumberFormat="1" applyFont="1" applyBorder="1"/>
    <xf numFmtId="0" fontId="7" fillId="0" borderId="3" xfId="0" applyFont="1" applyBorder="1"/>
    <xf numFmtId="166" fontId="11" fillId="0" borderId="3" xfId="1" applyNumberFormat="1" applyFont="1" applyBorder="1"/>
    <xf numFmtId="166" fontId="12" fillId="0" borderId="3" xfId="0" applyNumberFormat="1" applyFont="1" applyBorder="1"/>
    <xf numFmtId="164" fontId="13" fillId="0" borderId="0" xfId="0" applyNumberFormat="1" applyFont="1"/>
    <xf numFmtId="10" fontId="13" fillId="0" borderId="0" xfId="2" applyNumberFormat="1" applyFont="1"/>
    <xf numFmtId="0" fontId="13" fillId="0" borderId="0" xfId="0" applyFont="1"/>
    <xf numFmtId="165" fontId="13" fillId="0" borderId="0" xfId="0" applyNumberFormat="1" applyFont="1"/>
    <xf numFmtId="37" fontId="3" fillId="0" borderId="1" xfId="0" applyNumberFormat="1" applyFont="1" applyBorder="1"/>
  </cellXfs>
  <cellStyles count="9">
    <cellStyle name="Comma" xfId="1" builtinId="3"/>
    <cellStyle name="Comma 10 2" xfId="8" xr:uid="{8383BD88-83CD-4335-8592-48DCA6F7A892}"/>
    <cellStyle name="Comma 10 7 9" xfId="7" xr:uid="{83EA9121-0176-4A11-A70D-D693F79E4B81}"/>
    <cellStyle name="Comma 2 3" xfId="3" xr:uid="{A47AAC9F-F18A-4B28-B60C-09F9B2084E49}"/>
    <cellStyle name="Normal" xfId="0" builtinId="0"/>
    <cellStyle name="Normal 15 3" xfId="6" xr:uid="{3A4514F7-8639-4552-9E03-8FA5FD579D9E}"/>
    <cellStyle name="Normal 3 2" xfId="5" xr:uid="{A8AD8F0F-9AC4-4E07-A41C-F55C27045C26}"/>
    <cellStyle name="Percent" xfId="2" builtinId="5"/>
    <cellStyle name="Percent 2" xfId="4" xr:uid="{94D57BB7-E1EE-44D7-8661-4609CAE71B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FC6E-22D8-4FF0-AF7F-563235C82BAE}">
  <dimension ref="A1:CU61"/>
  <sheetViews>
    <sheetView tabSelected="1" zoomScale="80" zoomScaleNormal="8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B57" sqref="B57:CS57"/>
    </sheetView>
  </sheetViews>
  <sheetFormatPr defaultRowHeight="14.4" x14ac:dyDescent="0.3"/>
  <cols>
    <col min="1" max="1" width="38.109375" bestFit="1" customWidth="1"/>
    <col min="2" max="12" width="12.109375" bestFit="1" customWidth="1"/>
    <col min="13" max="13" width="11.6640625" bestFit="1" customWidth="1"/>
    <col min="14" max="17" width="12.109375" bestFit="1" customWidth="1"/>
    <col min="18" max="18" width="11.6640625" bestFit="1" customWidth="1"/>
    <col min="19" max="24" width="12.109375" bestFit="1" customWidth="1"/>
    <col min="25" max="25" width="13.5546875" bestFit="1" customWidth="1"/>
    <col min="26" max="31" width="12.109375" bestFit="1" customWidth="1"/>
    <col min="32" max="35" width="13.5546875" bestFit="1" customWidth="1"/>
    <col min="36" max="48" width="12.109375" bestFit="1" customWidth="1"/>
    <col min="49" max="49" width="11.33203125" bestFit="1" customWidth="1"/>
    <col min="50" max="60" width="12.109375" bestFit="1" customWidth="1"/>
    <col min="61" max="61" width="11.6640625" bestFit="1" customWidth="1"/>
    <col min="62" max="64" width="12.109375" bestFit="1" customWidth="1"/>
    <col min="65" max="65" width="11.6640625" bestFit="1" customWidth="1"/>
    <col min="66" max="72" width="12.109375" bestFit="1" customWidth="1"/>
    <col min="73" max="73" width="11.88671875" bestFit="1" customWidth="1"/>
    <col min="74" max="74" width="12.109375" bestFit="1" customWidth="1"/>
    <col min="75" max="75" width="12.6640625" bestFit="1" customWidth="1"/>
    <col min="76" max="76" width="12.109375" bestFit="1" customWidth="1"/>
    <col min="77" max="78" width="10.5546875" customWidth="1"/>
    <col min="79" max="79" width="12.44140625" customWidth="1"/>
    <col min="80" max="85" width="10.5546875" customWidth="1"/>
    <col min="86" max="96" width="12.109375" bestFit="1" customWidth="1"/>
    <col min="97" max="97" width="12.88671875" customWidth="1"/>
    <col min="98" max="98" width="11.109375" customWidth="1"/>
    <col min="99" max="99" width="10.5546875" customWidth="1"/>
  </cols>
  <sheetData>
    <row r="1" spans="1:99" x14ac:dyDescent="0.3">
      <c r="B1" s="3">
        <v>2019</v>
      </c>
      <c r="C1" s="3">
        <v>2019</v>
      </c>
      <c r="D1" s="3">
        <v>2019</v>
      </c>
      <c r="E1" s="3">
        <v>2019</v>
      </c>
      <c r="F1" s="3">
        <v>2019</v>
      </c>
      <c r="G1" s="3">
        <v>2019</v>
      </c>
      <c r="H1" s="3">
        <v>2019</v>
      </c>
      <c r="I1" s="3">
        <v>2019</v>
      </c>
      <c r="J1" s="3">
        <v>2019</v>
      </c>
      <c r="K1" s="3">
        <v>2019</v>
      </c>
      <c r="L1" s="3">
        <v>2019</v>
      </c>
      <c r="M1" s="3">
        <v>2019</v>
      </c>
      <c r="N1" s="3">
        <v>2020</v>
      </c>
      <c r="O1" s="3">
        <v>2020</v>
      </c>
      <c r="P1" s="3">
        <v>2020</v>
      </c>
      <c r="Q1" s="3">
        <v>2020</v>
      </c>
      <c r="R1" s="3">
        <v>2020</v>
      </c>
      <c r="S1" s="3">
        <v>2020</v>
      </c>
      <c r="T1" s="3">
        <v>2020</v>
      </c>
      <c r="U1" s="3">
        <v>2020</v>
      </c>
      <c r="V1" s="3">
        <v>2020</v>
      </c>
      <c r="W1" s="3">
        <v>2020</v>
      </c>
      <c r="X1" s="3">
        <v>2020</v>
      </c>
      <c r="Y1" s="3">
        <v>2020</v>
      </c>
      <c r="Z1" s="7">
        <v>2021</v>
      </c>
      <c r="AA1" s="7">
        <v>2021</v>
      </c>
      <c r="AB1" s="7">
        <v>2021</v>
      </c>
      <c r="AC1" s="7">
        <v>2021</v>
      </c>
      <c r="AD1" s="7">
        <v>2021</v>
      </c>
      <c r="AE1" s="7">
        <v>2021</v>
      </c>
      <c r="AF1" s="7">
        <v>2021</v>
      </c>
      <c r="AG1" s="7">
        <v>2021</v>
      </c>
      <c r="AH1" s="7">
        <v>2021</v>
      </c>
      <c r="AI1" s="7">
        <v>2021</v>
      </c>
      <c r="AJ1" s="7">
        <v>2021</v>
      </c>
      <c r="AK1" s="7">
        <v>2021</v>
      </c>
      <c r="AL1" s="7">
        <v>2022</v>
      </c>
      <c r="AM1" s="7">
        <v>2022</v>
      </c>
      <c r="AN1" s="7">
        <v>2022</v>
      </c>
      <c r="AO1" s="7">
        <v>2022</v>
      </c>
      <c r="AP1" s="7">
        <v>2022</v>
      </c>
      <c r="AQ1" s="7">
        <v>2022</v>
      </c>
      <c r="AR1" s="7">
        <v>2022</v>
      </c>
      <c r="AS1" s="7">
        <v>2022</v>
      </c>
      <c r="AT1" s="7">
        <v>2022</v>
      </c>
      <c r="AU1" s="7">
        <v>2022</v>
      </c>
      <c r="AV1" s="7">
        <v>2022</v>
      </c>
      <c r="AW1" s="7">
        <v>2022</v>
      </c>
      <c r="AX1" s="7">
        <v>2023</v>
      </c>
      <c r="AY1" s="7">
        <v>2023</v>
      </c>
      <c r="AZ1" s="7">
        <v>2023</v>
      </c>
      <c r="BA1" s="7">
        <v>2023</v>
      </c>
      <c r="BB1" s="7">
        <v>2023</v>
      </c>
      <c r="BC1" s="7">
        <v>2023</v>
      </c>
      <c r="BD1" s="7">
        <v>2023</v>
      </c>
      <c r="BE1" s="7">
        <v>2023</v>
      </c>
      <c r="BF1" s="7">
        <v>2023</v>
      </c>
      <c r="BG1" s="7">
        <v>2023</v>
      </c>
      <c r="BH1" s="7">
        <v>2023</v>
      </c>
      <c r="BI1" s="7">
        <v>2023</v>
      </c>
      <c r="BJ1" s="7">
        <v>2024</v>
      </c>
      <c r="BK1" s="7">
        <v>2024</v>
      </c>
      <c r="BL1" s="7">
        <v>2024</v>
      </c>
      <c r="BM1" s="7">
        <v>2024</v>
      </c>
      <c r="BN1" s="7">
        <v>2024</v>
      </c>
      <c r="BO1" s="7">
        <v>2024</v>
      </c>
      <c r="BP1" s="7">
        <v>2024</v>
      </c>
      <c r="BQ1" s="7">
        <v>2024</v>
      </c>
      <c r="BR1" s="7">
        <v>2024</v>
      </c>
      <c r="BS1" s="7">
        <v>2024</v>
      </c>
      <c r="BT1" s="7">
        <v>2024</v>
      </c>
      <c r="BU1" s="7">
        <v>2024</v>
      </c>
      <c r="BV1" s="7">
        <v>2025</v>
      </c>
      <c r="BW1" s="7">
        <v>2025</v>
      </c>
      <c r="BX1" s="7">
        <v>2025</v>
      </c>
      <c r="BY1" s="7">
        <v>2025</v>
      </c>
      <c r="BZ1" s="7">
        <v>2025</v>
      </c>
      <c r="CA1" s="7">
        <v>2025</v>
      </c>
      <c r="CB1" s="7">
        <v>2025</v>
      </c>
      <c r="CC1" s="7">
        <v>2025</v>
      </c>
      <c r="CD1" s="7">
        <v>2025</v>
      </c>
      <c r="CE1" s="7">
        <v>2025</v>
      </c>
      <c r="CF1" s="7">
        <v>2025</v>
      </c>
      <c r="CG1" s="7">
        <v>2025</v>
      </c>
      <c r="CH1" s="7">
        <v>2025</v>
      </c>
      <c r="CI1" s="7">
        <v>2025</v>
      </c>
      <c r="CJ1" s="7">
        <v>2025</v>
      </c>
      <c r="CK1" s="7">
        <v>2025</v>
      </c>
      <c r="CL1" s="7">
        <v>2025</v>
      </c>
      <c r="CM1" s="7">
        <v>2025</v>
      </c>
      <c r="CN1" s="7">
        <v>2025</v>
      </c>
      <c r="CO1" s="7">
        <v>2025</v>
      </c>
      <c r="CP1" s="7">
        <v>2025</v>
      </c>
      <c r="CQ1" s="7">
        <v>2025</v>
      </c>
      <c r="CR1" s="7">
        <v>2025</v>
      </c>
      <c r="CS1" s="7">
        <v>2025</v>
      </c>
      <c r="CT1" s="7"/>
      <c r="CU1" s="7"/>
    </row>
    <row r="2" spans="1:99" x14ac:dyDescent="0.3"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41</v>
      </c>
      <c r="AA2" s="3" t="s">
        <v>42</v>
      </c>
      <c r="AB2" s="3" t="s">
        <v>43</v>
      </c>
      <c r="AC2" s="3" t="s">
        <v>44</v>
      </c>
      <c r="AD2" s="3" t="s">
        <v>45</v>
      </c>
      <c r="AE2" s="3" t="s">
        <v>46</v>
      </c>
      <c r="AF2" s="3" t="s">
        <v>47</v>
      </c>
      <c r="AG2" s="3" t="s">
        <v>48</v>
      </c>
      <c r="AH2" s="3" t="s">
        <v>49</v>
      </c>
      <c r="AI2" s="3" t="s">
        <v>50</v>
      </c>
      <c r="AJ2" s="3" t="s">
        <v>51</v>
      </c>
      <c r="AK2" s="3" t="s">
        <v>52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41</v>
      </c>
      <c r="AY2" s="3" t="s">
        <v>42</v>
      </c>
      <c r="AZ2" s="3" t="s">
        <v>43</v>
      </c>
      <c r="BA2" s="3" t="s">
        <v>44</v>
      </c>
      <c r="BB2" s="3" t="s">
        <v>45</v>
      </c>
      <c r="BC2" s="3" t="s">
        <v>46</v>
      </c>
      <c r="BD2" s="3" t="s">
        <v>47</v>
      </c>
      <c r="BE2" s="3" t="s">
        <v>48</v>
      </c>
      <c r="BF2" s="3" t="s">
        <v>49</v>
      </c>
      <c r="BG2" s="3" t="s">
        <v>50</v>
      </c>
      <c r="BH2" s="3" t="s">
        <v>51</v>
      </c>
      <c r="BI2" s="3" t="s">
        <v>52</v>
      </c>
      <c r="BJ2" s="3" t="s">
        <v>41</v>
      </c>
      <c r="BK2" s="3" t="s">
        <v>42</v>
      </c>
      <c r="BL2" s="3" t="s">
        <v>43</v>
      </c>
      <c r="BM2" s="3" t="s">
        <v>44</v>
      </c>
      <c r="BN2" s="3" t="s">
        <v>45</v>
      </c>
      <c r="BO2" s="3" t="s">
        <v>46</v>
      </c>
      <c r="BP2" s="3" t="s">
        <v>47</v>
      </c>
      <c r="BQ2" s="3" t="s">
        <v>48</v>
      </c>
      <c r="BR2" s="3" t="s">
        <v>49</v>
      </c>
      <c r="BS2" s="3" t="s">
        <v>50</v>
      </c>
      <c r="BT2" s="3" t="s">
        <v>51</v>
      </c>
      <c r="BU2" s="3" t="s">
        <v>52</v>
      </c>
      <c r="BV2" s="3" t="s">
        <v>41</v>
      </c>
      <c r="BW2" s="3" t="s">
        <v>42</v>
      </c>
      <c r="BX2" s="3" t="s">
        <v>43</v>
      </c>
      <c r="BY2" s="3" t="s">
        <v>44</v>
      </c>
      <c r="BZ2" s="3" t="s">
        <v>45</v>
      </c>
      <c r="CA2" s="3" t="s">
        <v>46</v>
      </c>
      <c r="CB2" s="3" t="s">
        <v>47</v>
      </c>
      <c r="CC2" s="3" t="s">
        <v>48</v>
      </c>
      <c r="CD2" s="3" t="s">
        <v>49</v>
      </c>
      <c r="CE2" s="3" t="s">
        <v>50</v>
      </c>
      <c r="CF2" s="3" t="s">
        <v>51</v>
      </c>
      <c r="CG2" s="3" t="s">
        <v>52</v>
      </c>
      <c r="CH2" s="3" t="s">
        <v>41</v>
      </c>
      <c r="CI2" s="3" t="s">
        <v>42</v>
      </c>
      <c r="CJ2" s="3" t="s">
        <v>43</v>
      </c>
      <c r="CK2" s="3" t="s">
        <v>44</v>
      </c>
      <c r="CL2" s="3" t="s">
        <v>45</v>
      </c>
      <c r="CM2" s="3" t="s">
        <v>46</v>
      </c>
      <c r="CN2" s="3" t="s">
        <v>47</v>
      </c>
      <c r="CO2" s="3" t="s">
        <v>48</v>
      </c>
      <c r="CP2" s="3" t="s">
        <v>49</v>
      </c>
      <c r="CQ2" s="3" t="s">
        <v>50</v>
      </c>
      <c r="CR2" s="3" t="s">
        <v>51</v>
      </c>
      <c r="CS2" s="3" t="s">
        <v>52</v>
      </c>
      <c r="CT2" s="3"/>
      <c r="CU2" s="3"/>
    </row>
    <row r="3" spans="1:99" x14ac:dyDescent="0.3">
      <c r="A3" s="15" t="s">
        <v>53</v>
      </c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3" t="s">
        <v>19</v>
      </c>
      <c r="AH3" s="3" t="s">
        <v>19</v>
      </c>
      <c r="AI3" s="3" t="s">
        <v>19</v>
      </c>
      <c r="AJ3" s="3" t="s">
        <v>19</v>
      </c>
      <c r="AK3" s="3" t="s">
        <v>19</v>
      </c>
      <c r="AL3" s="3" t="s">
        <v>19</v>
      </c>
      <c r="AM3" s="3" t="s">
        <v>19</v>
      </c>
      <c r="AN3" s="3" t="s">
        <v>19</v>
      </c>
      <c r="AO3" s="3" t="s">
        <v>19</v>
      </c>
      <c r="AP3" s="3" t="s">
        <v>19</v>
      </c>
      <c r="AQ3" s="3" t="s">
        <v>19</v>
      </c>
      <c r="AR3" s="3" t="s">
        <v>19</v>
      </c>
      <c r="AS3" s="3" t="s">
        <v>19</v>
      </c>
      <c r="AT3" s="3" t="s">
        <v>19</v>
      </c>
      <c r="AU3" s="3" t="s">
        <v>19</v>
      </c>
      <c r="AV3" s="3" t="s">
        <v>19</v>
      </c>
      <c r="AW3" s="3" t="s">
        <v>19</v>
      </c>
      <c r="AX3" s="3" t="s">
        <v>19</v>
      </c>
      <c r="AY3" s="3" t="s">
        <v>19</v>
      </c>
      <c r="AZ3" s="3" t="s">
        <v>19</v>
      </c>
      <c r="BA3" s="3" t="s">
        <v>19</v>
      </c>
      <c r="BB3" s="3" t="s">
        <v>19</v>
      </c>
      <c r="BC3" s="3" t="s">
        <v>19</v>
      </c>
      <c r="BD3" s="3" t="s">
        <v>19</v>
      </c>
      <c r="BE3" s="3" t="s">
        <v>19</v>
      </c>
      <c r="BF3" s="3" t="s">
        <v>19</v>
      </c>
      <c r="BG3" s="3" t="s">
        <v>19</v>
      </c>
      <c r="BH3" s="3" t="s">
        <v>19</v>
      </c>
      <c r="BI3" s="3" t="s">
        <v>19</v>
      </c>
      <c r="BJ3" s="3" t="s">
        <v>19</v>
      </c>
      <c r="BK3" s="3" t="s">
        <v>19</v>
      </c>
      <c r="BL3" s="3" t="s">
        <v>19</v>
      </c>
      <c r="BM3" s="3" t="s">
        <v>19</v>
      </c>
      <c r="BN3" s="3" t="s">
        <v>19</v>
      </c>
      <c r="BO3" s="3" t="s">
        <v>19</v>
      </c>
      <c r="BP3" s="3" t="s">
        <v>19</v>
      </c>
      <c r="BQ3" s="3" t="s">
        <v>19</v>
      </c>
      <c r="BR3" s="3" t="s">
        <v>19</v>
      </c>
      <c r="BS3" s="3" t="s">
        <v>19</v>
      </c>
      <c r="BT3" s="3" t="s">
        <v>19</v>
      </c>
      <c r="BU3" s="3" t="s">
        <v>19</v>
      </c>
      <c r="BV3" s="3" t="s">
        <v>19</v>
      </c>
      <c r="BW3" s="3" t="s">
        <v>19</v>
      </c>
      <c r="BX3" s="3" t="s">
        <v>19</v>
      </c>
      <c r="BY3" s="3" t="s">
        <v>19</v>
      </c>
      <c r="BZ3" s="3" t="s">
        <v>19</v>
      </c>
      <c r="CA3" s="3" t="s">
        <v>19</v>
      </c>
      <c r="CB3" s="3" t="s">
        <v>19</v>
      </c>
      <c r="CC3" s="3" t="s">
        <v>19</v>
      </c>
      <c r="CD3" s="3" t="s">
        <v>19</v>
      </c>
      <c r="CE3" s="3" t="s">
        <v>19</v>
      </c>
      <c r="CF3" s="3" t="s">
        <v>19</v>
      </c>
      <c r="CG3" s="3" t="s">
        <v>19</v>
      </c>
      <c r="CH3" s="7" t="s">
        <v>20</v>
      </c>
      <c r="CI3" s="7" t="s">
        <v>20</v>
      </c>
      <c r="CJ3" s="7" t="s">
        <v>20</v>
      </c>
      <c r="CK3" s="7" t="s">
        <v>20</v>
      </c>
      <c r="CL3" s="7" t="s">
        <v>20</v>
      </c>
      <c r="CM3" s="7" t="s">
        <v>20</v>
      </c>
      <c r="CN3" s="7" t="s">
        <v>20</v>
      </c>
      <c r="CO3" s="7" t="s">
        <v>20</v>
      </c>
      <c r="CP3" s="7" t="s">
        <v>20</v>
      </c>
      <c r="CQ3" s="7" t="s">
        <v>20</v>
      </c>
      <c r="CR3" s="7" t="s">
        <v>20</v>
      </c>
      <c r="CS3" s="7" t="s">
        <v>20</v>
      </c>
      <c r="CT3" s="7"/>
      <c r="CU3" s="7"/>
    </row>
    <row r="4" spans="1:99" x14ac:dyDescent="0.3">
      <c r="A4" s="6" t="s">
        <v>0</v>
      </c>
      <c r="B4" s="1">
        <v>12278960.979999997</v>
      </c>
      <c r="C4" s="1">
        <v>10998719.869999999</v>
      </c>
      <c r="D4" s="1">
        <v>13256767.1</v>
      </c>
      <c r="E4" s="1">
        <v>13994022.040000003</v>
      </c>
      <c r="F4" s="1">
        <v>13579289.900000002</v>
      </c>
      <c r="G4" s="1">
        <v>11323225.620000003</v>
      </c>
      <c r="H4" s="1">
        <v>11558379.069999998</v>
      </c>
      <c r="I4" s="1">
        <v>10557446.680000002</v>
      </c>
      <c r="J4" s="1">
        <v>11589540.160000002</v>
      </c>
      <c r="K4" s="1">
        <v>11973628.51</v>
      </c>
      <c r="L4" s="1">
        <v>11233032.359999999</v>
      </c>
      <c r="M4" s="1">
        <v>9981804.7100000028</v>
      </c>
      <c r="N4" s="1">
        <v>10097789.289999999</v>
      </c>
      <c r="O4" s="1">
        <v>11858928.560000001</v>
      </c>
      <c r="P4" s="1">
        <v>13180879.18</v>
      </c>
      <c r="Q4" s="1">
        <v>10733223.66</v>
      </c>
      <c r="R4" s="1">
        <v>9163528.3699999992</v>
      </c>
      <c r="S4" s="1">
        <v>10346833.75</v>
      </c>
      <c r="T4" s="1">
        <v>10083565.720000001</v>
      </c>
      <c r="U4" s="1">
        <v>10523117.98</v>
      </c>
      <c r="V4" s="1">
        <v>10870018.340000004</v>
      </c>
      <c r="W4" s="1">
        <v>11795696.709999999</v>
      </c>
      <c r="X4" s="1">
        <v>11868282.729999999</v>
      </c>
      <c r="Y4" s="1">
        <v>10776019.600000001</v>
      </c>
      <c r="Z4" s="1">
        <v>12583337.83</v>
      </c>
      <c r="AA4" s="1">
        <v>12316525.869999999</v>
      </c>
      <c r="AB4" s="1">
        <v>13487978.380000001</v>
      </c>
      <c r="AC4" s="1">
        <v>12277020.730000002</v>
      </c>
      <c r="AD4" s="1">
        <v>11953048.1</v>
      </c>
      <c r="AE4" s="1">
        <v>11933461.560000002</v>
      </c>
      <c r="AF4" s="1">
        <v>12095560.710000001</v>
      </c>
      <c r="AG4" s="1">
        <v>13212734.800000001</v>
      </c>
      <c r="AH4" s="1">
        <v>12171141.319999997</v>
      </c>
      <c r="AI4" s="1">
        <v>12770106.9</v>
      </c>
      <c r="AJ4" s="1">
        <v>12120839.510000002</v>
      </c>
      <c r="AK4" s="1">
        <v>10773413.789999997</v>
      </c>
      <c r="AL4" s="1">
        <v>12416642.709999999</v>
      </c>
      <c r="AM4" s="1">
        <v>12140082.41</v>
      </c>
      <c r="AN4" s="1">
        <v>14159597.629999999</v>
      </c>
      <c r="AO4" s="1">
        <v>15012301.699999997</v>
      </c>
      <c r="AP4" s="1">
        <v>13131712.230000002</v>
      </c>
      <c r="AQ4" s="1">
        <v>13043105.15</v>
      </c>
      <c r="AR4" s="1">
        <v>11563720.089999998</v>
      </c>
      <c r="AS4" s="1">
        <v>12723344.720000003</v>
      </c>
      <c r="AT4" s="1">
        <v>11438975.270000003</v>
      </c>
      <c r="AU4" s="1">
        <v>11070151.200000001</v>
      </c>
      <c r="AV4" s="1">
        <v>12101270.750000002</v>
      </c>
      <c r="AW4" s="1">
        <v>7414473.9399999995</v>
      </c>
      <c r="AX4" s="1">
        <v>12618112.390000002</v>
      </c>
      <c r="AY4" s="1">
        <v>12265986.470000003</v>
      </c>
      <c r="AZ4" s="1">
        <v>12562404.739999996</v>
      </c>
      <c r="BA4" s="1">
        <v>12347038.809999999</v>
      </c>
      <c r="BB4" s="1">
        <v>11807652.439999998</v>
      </c>
      <c r="BC4" s="1">
        <v>11436616.84</v>
      </c>
      <c r="BD4" s="1">
        <v>11398694.4</v>
      </c>
      <c r="BE4" s="1">
        <v>10130602.029999997</v>
      </c>
      <c r="BF4" s="1">
        <v>10437245.889999999</v>
      </c>
      <c r="BG4" s="1">
        <v>10445153.4</v>
      </c>
      <c r="BH4" s="1">
        <v>10705283.01</v>
      </c>
      <c r="BI4" s="1">
        <v>7814686.450000002</v>
      </c>
      <c r="BJ4" s="1">
        <v>12093185.339999998</v>
      </c>
      <c r="BK4" s="1">
        <v>11589057.440000001</v>
      </c>
      <c r="BL4" s="1">
        <v>12010004.08</v>
      </c>
      <c r="BM4" s="1">
        <v>8828245</v>
      </c>
      <c r="BN4" s="1">
        <v>12021392.499999998</v>
      </c>
      <c r="BO4" s="1">
        <v>10474898.790000001</v>
      </c>
      <c r="BP4" s="1">
        <v>11450256.469999999</v>
      </c>
      <c r="BQ4" s="1">
        <v>11342418.68</v>
      </c>
      <c r="BR4" s="1">
        <v>11608733.020000001</v>
      </c>
      <c r="BS4" s="1">
        <v>12065201.580000002</v>
      </c>
      <c r="BT4" s="1">
        <v>11739432.029999997</v>
      </c>
      <c r="BU4" s="1">
        <v>9546853.4600000009</v>
      </c>
      <c r="BV4" s="1">
        <v>13300426.75</v>
      </c>
      <c r="BW4" s="1">
        <v>12720705.799999999</v>
      </c>
      <c r="BX4" s="1">
        <v>12424239.630000003</v>
      </c>
      <c r="BY4" s="1">
        <v>12105642.690000003</v>
      </c>
      <c r="BZ4" s="1">
        <v>12481673.360000001</v>
      </c>
      <c r="CA4" s="18"/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14817950</v>
      </c>
      <c r="CI4" s="1">
        <v>14817950</v>
      </c>
      <c r="CJ4" s="1">
        <v>14817950</v>
      </c>
      <c r="CK4" s="1">
        <v>14817950</v>
      </c>
      <c r="CL4" s="1">
        <v>14817950</v>
      </c>
      <c r="CM4" s="1">
        <v>14817950</v>
      </c>
      <c r="CN4" s="1">
        <v>14817950</v>
      </c>
      <c r="CO4" s="1">
        <v>14817950</v>
      </c>
      <c r="CP4" s="1">
        <v>14817950</v>
      </c>
      <c r="CQ4" s="1">
        <v>14817950</v>
      </c>
      <c r="CR4" s="1">
        <v>14817950</v>
      </c>
      <c r="CS4" s="1">
        <v>14817950</v>
      </c>
      <c r="CT4" s="1"/>
      <c r="CU4" s="1"/>
    </row>
    <row r="5" spans="1:99" x14ac:dyDescent="0.3">
      <c r="A5" s="4" t="s">
        <v>1</v>
      </c>
      <c r="B5" s="9">
        <f>B6+B17</f>
        <v>10875265.1</v>
      </c>
      <c r="C5" s="9">
        <f t="shared" ref="C5:BN5" si="0">C6+C17</f>
        <v>9523766.0199999996</v>
      </c>
      <c r="D5" s="9">
        <f t="shared" si="0"/>
        <v>10712230.609999999</v>
      </c>
      <c r="E5" s="9">
        <f t="shared" si="0"/>
        <v>11560198.41</v>
      </c>
      <c r="F5" s="9">
        <f t="shared" si="0"/>
        <v>11372405.790000001</v>
      </c>
      <c r="G5" s="9">
        <f t="shared" si="0"/>
        <v>9389625.6600000001</v>
      </c>
      <c r="H5" s="9">
        <f t="shared" si="0"/>
        <v>9754653.7600000016</v>
      </c>
      <c r="I5" s="9">
        <f t="shared" si="0"/>
        <v>9029585.0099999979</v>
      </c>
      <c r="J5" s="9">
        <f t="shared" si="0"/>
        <v>9584921.6999999993</v>
      </c>
      <c r="K5" s="9">
        <f t="shared" si="0"/>
        <v>10069808.27</v>
      </c>
      <c r="L5" s="9">
        <f t="shared" si="0"/>
        <v>9354730.5899999999</v>
      </c>
      <c r="M5" s="9">
        <f t="shared" si="0"/>
        <v>8223905.5199999996</v>
      </c>
      <c r="N5" s="9">
        <f t="shared" si="0"/>
        <v>8775396.4499999993</v>
      </c>
      <c r="O5" s="9">
        <f t="shared" si="0"/>
        <v>9711885.1199999992</v>
      </c>
      <c r="P5" s="9">
        <f t="shared" si="0"/>
        <v>10007642.789999999</v>
      </c>
      <c r="Q5" s="9">
        <f t="shared" si="0"/>
        <v>8656047.4400000013</v>
      </c>
      <c r="R5" s="9">
        <f t="shared" si="0"/>
        <v>7653504.5099999998</v>
      </c>
      <c r="S5" s="9">
        <f t="shared" si="0"/>
        <v>8311410.540000001</v>
      </c>
      <c r="T5" s="9">
        <f t="shared" si="0"/>
        <v>8297190.129999999</v>
      </c>
      <c r="U5" s="9">
        <f t="shared" si="0"/>
        <v>8721827.4900000002</v>
      </c>
      <c r="V5" s="9">
        <f t="shared" si="0"/>
        <v>9151853.5099999998</v>
      </c>
      <c r="W5" s="9">
        <f t="shared" si="0"/>
        <v>10009919.300000001</v>
      </c>
      <c r="X5" s="9">
        <f t="shared" si="0"/>
        <v>9975402.75</v>
      </c>
      <c r="Y5" s="9">
        <f t="shared" si="0"/>
        <v>8393018.0800000001</v>
      </c>
      <c r="Z5" s="9">
        <f t="shared" si="0"/>
        <v>9968995.1600000001</v>
      </c>
      <c r="AA5" s="9">
        <f t="shared" si="0"/>
        <v>9782239.6099999994</v>
      </c>
      <c r="AB5" s="9">
        <f t="shared" si="0"/>
        <v>10720033.649999999</v>
      </c>
      <c r="AC5" s="9">
        <f t="shared" si="0"/>
        <v>10160674.960000001</v>
      </c>
      <c r="AD5" s="9">
        <f t="shared" si="0"/>
        <v>9849924.9299999997</v>
      </c>
      <c r="AE5" s="9">
        <f t="shared" si="0"/>
        <v>10462593.260000002</v>
      </c>
      <c r="AF5" s="9">
        <f t="shared" si="0"/>
        <v>10765361.84</v>
      </c>
      <c r="AG5" s="9">
        <f t="shared" si="0"/>
        <v>11039049.210000001</v>
      </c>
      <c r="AH5" s="9">
        <f t="shared" si="0"/>
        <v>9973275.8000000007</v>
      </c>
      <c r="AI5" s="9">
        <f t="shared" si="0"/>
        <v>10620788.390000001</v>
      </c>
      <c r="AJ5" s="9">
        <f t="shared" si="0"/>
        <v>10647169.66</v>
      </c>
      <c r="AK5" s="9">
        <f t="shared" si="0"/>
        <v>9534118.4100000001</v>
      </c>
      <c r="AL5" s="9">
        <f t="shared" si="0"/>
        <v>10685396.74</v>
      </c>
      <c r="AM5" s="9">
        <f t="shared" si="0"/>
        <v>10739364.629999999</v>
      </c>
      <c r="AN5" s="9">
        <f t="shared" si="0"/>
        <v>12335723.119999999</v>
      </c>
      <c r="AO5" s="9">
        <f t="shared" si="0"/>
        <v>12715313.700000001</v>
      </c>
      <c r="AP5" s="9">
        <f t="shared" si="0"/>
        <v>11469030.25</v>
      </c>
      <c r="AQ5" s="9">
        <f t="shared" si="0"/>
        <v>11235567.199999999</v>
      </c>
      <c r="AR5" s="9">
        <f t="shared" si="0"/>
        <v>10671793.6</v>
      </c>
      <c r="AS5" s="9">
        <f t="shared" si="0"/>
        <v>11512369.530000001</v>
      </c>
      <c r="AT5" s="9">
        <f t="shared" si="0"/>
        <v>10397717.82</v>
      </c>
      <c r="AU5" s="9">
        <f t="shared" si="0"/>
        <v>10023776.890000001</v>
      </c>
      <c r="AV5" s="9">
        <f t="shared" si="0"/>
        <v>11092703.039999999</v>
      </c>
      <c r="AW5" s="9">
        <f t="shared" si="0"/>
        <v>7677647.9699999997</v>
      </c>
      <c r="AX5" s="9">
        <f t="shared" si="0"/>
        <v>11212362.239999998</v>
      </c>
      <c r="AY5" s="9">
        <f t="shared" si="0"/>
        <v>9986092.1799999997</v>
      </c>
      <c r="AZ5" s="9">
        <f t="shared" si="0"/>
        <v>10235698.799999999</v>
      </c>
      <c r="BA5" s="9">
        <f t="shared" si="0"/>
        <v>10156881.52</v>
      </c>
      <c r="BB5" s="9">
        <f t="shared" si="0"/>
        <v>9298899.0800000001</v>
      </c>
      <c r="BC5" s="9">
        <f t="shared" si="0"/>
        <v>9424446.25</v>
      </c>
      <c r="BD5" s="9">
        <f t="shared" si="0"/>
        <v>9359422.5</v>
      </c>
      <c r="BE5" s="9">
        <f t="shared" si="0"/>
        <v>8971728.2300000004</v>
      </c>
      <c r="BF5" s="9">
        <f t="shared" si="0"/>
        <v>9116867.8099999987</v>
      </c>
      <c r="BG5" s="9">
        <f t="shared" si="0"/>
        <v>9130455.0899999999</v>
      </c>
      <c r="BH5" s="9">
        <f t="shared" si="0"/>
        <v>9552358.1400000006</v>
      </c>
      <c r="BI5" s="9">
        <f t="shared" si="0"/>
        <v>7539919.4299999997</v>
      </c>
      <c r="BJ5" s="9">
        <f t="shared" si="0"/>
        <v>10430634.969999999</v>
      </c>
      <c r="BK5" s="9">
        <f t="shared" si="0"/>
        <v>10018071.289999999</v>
      </c>
      <c r="BL5" s="9">
        <f t="shared" si="0"/>
        <v>10339346.369999999</v>
      </c>
      <c r="BM5" s="9">
        <f t="shared" si="0"/>
        <v>8113130.6600000001</v>
      </c>
      <c r="BN5" s="9">
        <f t="shared" si="0"/>
        <v>10683422.910000002</v>
      </c>
      <c r="BO5" s="9">
        <f t="shared" ref="BO5:CS5" si="1">BO6+BO17</f>
        <v>9322314.8300000001</v>
      </c>
      <c r="BP5" s="9">
        <f t="shared" si="1"/>
        <v>10339533.359999999</v>
      </c>
      <c r="BQ5" s="9">
        <f t="shared" si="1"/>
        <v>10104346.52</v>
      </c>
      <c r="BR5" s="9">
        <f t="shared" si="1"/>
        <v>10365919.67</v>
      </c>
      <c r="BS5" s="9">
        <f t="shared" si="1"/>
        <v>10933731.49</v>
      </c>
      <c r="BT5" s="9">
        <f t="shared" si="1"/>
        <v>10796234.68</v>
      </c>
      <c r="BU5" s="9">
        <f t="shared" si="1"/>
        <v>9015820.8800000027</v>
      </c>
      <c r="BV5" s="9">
        <f>BV6+BV17</f>
        <v>11381612.52</v>
      </c>
      <c r="BW5" s="9">
        <f t="shared" si="1"/>
        <v>11202259.289999999</v>
      </c>
      <c r="BX5" s="9">
        <f t="shared" si="1"/>
        <v>10896578.84</v>
      </c>
      <c r="BY5" s="9">
        <f t="shared" si="1"/>
        <v>10776398.02</v>
      </c>
      <c r="BZ5" s="9">
        <f t="shared" si="1"/>
        <v>10920497.16</v>
      </c>
      <c r="CA5" s="19"/>
      <c r="CB5" s="9"/>
      <c r="CC5" s="9"/>
      <c r="CD5" s="9"/>
      <c r="CE5" s="9"/>
      <c r="CF5" s="9"/>
      <c r="CG5" s="9"/>
      <c r="CH5" s="9">
        <f t="shared" si="1"/>
        <v>12561109</v>
      </c>
      <c r="CI5" s="9">
        <f t="shared" si="1"/>
        <v>12561109</v>
      </c>
      <c r="CJ5" s="9">
        <f t="shared" si="1"/>
        <v>12561109</v>
      </c>
      <c r="CK5" s="9">
        <f t="shared" si="1"/>
        <v>12561109</v>
      </c>
      <c r="CL5" s="9">
        <f t="shared" si="1"/>
        <v>12561109</v>
      </c>
      <c r="CM5" s="9">
        <f t="shared" si="1"/>
        <v>12561109</v>
      </c>
      <c r="CN5" s="9">
        <f t="shared" si="1"/>
        <v>12561109</v>
      </c>
      <c r="CO5" s="9">
        <f t="shared" si="1"/>
        <v>12561109</v>
      </c>
      <c r="CP5" s="9">
        <f t="shared" si="1"/>
        <v>12561109</v>
      </c>
      <c r="CQ5" s="9">
        <f t="shared" si="1"/>
        <v>12561109</v>
      </c>
      <c r="CR5" s="9">
        <f t="shared" si="1"/>
        <v>12561109</v>
      </c>
      <c r="CS5" s="9">
        <f t="shared" si="1"/>
        <v>12561109</v>
      </c>
    </row>
    <row r="6" spans="1:99" x14ac:dyDescent="0.3">
      <c r="A6" s="4" t="s">
        <v>2</v>
      </c>
      <c r="B6" s="1">
        <v>7666586.0599999996</v>
      </c>
      <c r="C6" s="1">
        <v>6732699.6699999999</v>
      </c>
      <c r="D6" s="1">
        <v>7580060.2200000007</v>
      </c>
      <c r="E6" s="1">
        <v>8082357.0599999996</v>
      </c>
      <c r="F6" s="1">
        <v>7876420.5000000009</v>
      </c>
      <c r="G6" s="1">
        <v>6490996.75</v>
      </c>
      <c r="H6" s="1">
        <v>6609839.3100000005</v>
      </c>
      <c r="I6" s="1">
        <v>6026509.6799999988</v>
      </c>
      <c r="J6" s="1">
        <v>6351038.6399999987</v>
      </c>
      <c r="K6" s="1">
        <v>6562561.4900000002</v>
      </c>
      <c r="L6" s="1">
        <v>6127118.0699999994</v>
      </c>
      <c r="M6" s="1">
        <v>5263535.71</v>
      </c>
      <c r="N6" s="1">
        <v>5491331.4899999993</v>
      </c>
      <c r="O6" s="1">
        <v>6386572.7699999996</v>
      </c>
      <c r="P6" s="1">
        <v>6868824.0499999998</v>
      </c>
      <c r="Q6" s="1">
        <v>5890961.2800000003</v>
      </c>
      <c r="R6" s="1">
        <v>4962310.55</v>
      </c>
      <c r="S6" s="1">
        <v>5543854.2800000003</v>
      </c>
      <c r="T6" s="1">
        <v>5265645.4799999995</v>
      </c>
      <c r="U6" s="1">
        <v>5478931.3300000001</v>
      </c>
      <c r="V6" s="1">
        <v>5638051.29</v>
      </c>
      <c r="W6" s="1">
        <v>6373273.4399999995</v>
      </c>
      <c r="X6" s="1">
        <v>6183422.5700000003</v>
      </c>
      <c r="Y6" s="1">
        <v>5615866.7199999997</v>
      </c>
      <c r="Z6" s="1">
        <v>6547996.7400000002</v>
      </c>
      <c r="AA6" s="1">
        <v>6607395.0700000003</v>
      </c>
      <c r="AB6" s="1">
        <v>7498795.1499999994</v>
      </c>
      <c r="AC6" s="1">
        <v>6792886.4699999997</v>
      </c>
      <c r="AD6" s="1">
        <v>6561200.2599999998</v>
      </c>
      <c r="AE6" s="1">
        <v>7062380.7200000007</v>
      </c>
      <c r="AF6" s="1">
        <v>7532622.5899999999</v>
      </c>
      <c r="AG6" s="1">
        <v>7653924.2200000007</v>
      </c>
      <c r="AH6" s="1">
        <v>6785113.25</v>
      </c>
      <c r="AI6" s="1">
        <v>7357706.6099999994</v>
      </c>
      <c r="AJ6" s="1">
        <v>7390935.4400000004</v>
      </c>
      <c r="AK6" s="1">
        <v>6477402.29</v>
      </c>
      <c r="AL6" s="1">
        <v>7454673.9800000004</v>
      </c>
      <c r="AM6" s="1">
        <v>7457987.2399999993</v>
      </c>
      <c r="AN6" s="1">
        <v>8867899.459999999</v>
      </c>
      <c r="AO6" s="1">
        <v>9238621.7100000009</v>
      </c>
      <c r="AP6" s="1">
        <v>8144897.3300000001</v>
      </c>
      <c r="AQ6" s="1">
        <v>7804298.3099999996</v>
      </c>
      <c r="AR6" s="1">
        <v>7270294.129999999</v>
      </c>
      <c r="AS6" s="1">
        <v>7849950.6000000006</v>
      </c>
      <c r="AT6" s="1">
        <v>6950986.4299999997</v>
      </c>
      <c r="AU6" s="1">
        <v>6753530.8200000003</v>
      </c>
      <c r="AV6" s="1">
        <v>7591904.0700000003</v>
      </c>
      <c r="AW6" s="1">
        <v>4782764.0699999994</v>
      </c>
      <c r="AX6" s="1">
        <v>7644079.9299999988</v>
      </c>
      <c r="AY6" s="1">
        <v>6683790.9899999993</v>
      </c>
      <c r="AZ6" s="1">
        <v>6961816.0199999996</v>
      </c>
      <c r="BA6" s="1">
        <v>6818687.5300000003</v>
      </c>
      <c r="BB6" s="1">
        <v>5932194.04</v>
      </c>
      <c r="BC6" s="1">
        <v>6089346.5099999998</v>
      </c>
      <c r="BD6" s="1">
        <v>5812770.9500000002</v>
      </c>
      <c r="BE6" s="1">
        <v>5621754.9800000004</v>
      </c>
      <c r="BF6" s="1">
        <v>5743805.6999999983</v>
      </c>
      <c r="BG6" s="1">
        <v>5778063.7199999997</v>
      </c>
      <c r="BH6" s="1">
        <v>6041641.0199999996</v>
      </c>
      <c r="BI6" s="1">
        <v>4696079.5599999996</v>
      </c>
      <c r="BJ6" s="1">
        <v>6561238.0699999984</v>
      </c>
      <c r="BK6" s="1">
        <v>6496877.7699999996</v>
      </c>
      <c r="BL6" s="1">
        <v>6553377.9499999993</v>
      </c>
      <c r="BM6" s="1">
        <v>4843969.54</v>
      </c>
      <c r="BN6" s="1">
        <v>6855307.0500000017</v>
      </c>
      <c r="BO6" s="1">
        <v>5663771.1600000001</v>
      </c>
      <c r="BP6" s="1">
        <v>6350631.4399999995</v>
      </c>
      <c r="BQ6" s="1">
        <v>6427517.4000000004</v>
      </c>
      <c r="BR6" s="1">
        <v>6531772.2300000004</v>
      </c>
      <c r="BS6" s="1">
        <v>6993910.4300000006</v>
      </c>
      <c r="BT6" s="1">
        <v>6918321.3099999996</v>
      </c>
      <c r="BU6" s="1">
        <v>5757316.2300000014</v>
      </c>
      <c r="BV6" s="1">
        <v>7235677.5699999994</v>
      </c>
      <c r="BW6" s="1">
        <v>7053765.2599999998</v>
      </c>
      <c r="BX6" s="1">
        <v>6793709.54</v>
      </c>
      <c r="BY6" s="1">
        <v>6576134.4799999986</v>
      </c>
      <c r="BZ6" s="1">
        <v>6808322.0499999998</v>
      </c>
      <c r="CA6" s="18"/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8344342</v>
      </c>
      <c r="CI6" s="1">
        <v>8344342</v>
      </c>
      <c r="CJ6" s="1">
        <v>8344342</v>
      </c>
      <c r="CK6" s="1">
        <v>8344342</v>
      </c>
      <c r="CL6" s="1">
        <v>8344342</v>
      </c>
      <c r="CM6" s="1">
        <v>8344342</v>
      </c>
      <c r="CN6" s="1">
        <v>8344342</v>
      </c>
      <c r="CO6" s="1">
        <v>8344342</v>
      </c>
      <c r="CP6" s="1">
        <v>8344342</v>
      </c>
      <c r="CQ6" s="1">
        <v>8344342</v>
      </c>
      <c r="CR6" s="1">
        <v>8344342</v>
      </c>
      <c r="CS6" s="1">
        <v>8344342</v>
      </c>
    </row>
    <row r="7" spans="1:99" x14ac:dyDescent="0.3">
      <c r="A7" s="4" t="s">
        <v>21</v>
      </c>
      <c r="B7" s="8">
        <f>B6/B4</f>
        <v>0.62436765394786697</v>
      </c>
      <c r="C7" s="8">
        <f t="shared" ref="C7:BN7" si="2">C6/C4</f>
        <v>0.6121348438343307</v>
      </c>
      <c r="D7" s="8">
        <f t="shared" si="2"/>
        <v>0.5717879904520613</v>
      </c>
      <c r="E7" s="8">
        <f t="shared" si="2"/>
        <v>0.57755783411643091</v>
      </c>
      <c r="F7" s="8">
        <f t="shared" si="2"/>
        <v>0.58003183951467152</v>
      </c>
      <c r="G7" s="8">
        <f t="shared" si="2"/>
        <v>0.57324626107732701</v>
      </c>
      <c r="H7" s="8">
        <f t="shared" si="2"/>
        <v>0.57186559378001101</v>
      </c>
      <c r="I7" s="8">
        <f t="shared" si="2"/>
        <v>0.57083022653731252</v>
      </c>
      <c r="J7" s="8">
        <f t="shared" si="2"/>
        <v>0.54799746601853072</v>
      </c>
      <c r="K7" s="8">
        <f t="shared" si="2"/>
        <v>0.5480846081469084</v>
      </c>
      <c r="L7" s="8">
        <f t="shared" si="2"/>
        <v>0.54545539206476568</v>
      </c>
      <c r="M7" s="8">
        <f t="shared" si="2"/>
        <v>0.52731303235444671</v>
      </c>
      <c r="N7" s="8">
        <f t="shared" si="2"/>
        <v>0.5438152185883055</v>
      </c>
      <c r="O7" s="8">
        <f t="shared" si="2"/>
        <v>0.53854551342368484</v>
      </c>
      <c r="P7" s="8">
        <f t="shared" si="2"/>
        <v>0.52112032560183141</v>
      </c>
      <c r="Q7" s="8">
        <f t="shared" si="2"/>
        <v>0.54885293240968391</v>
      </c>
      <c r="R7" s="8">
        <f t="shared" si="2"/>
        <v>0.54152836654556025</v>
      </c>
      <c r="S7" s="8">
        <f t="shared" si="2"/>
        <v>0.53580200609679263</v>
      </c>
      <c r="T7" s="8">
        <f t="shared" si="2"/>
        <v>0.52220073991841842</v>
      </c>
      <c r="U7" s="8">
        <f t="shared" si="2"/>
        <v>0.52065664762222874</v>
      </c>
      <c r="V7" s="8">
        <f t="shared" si="2"/>
        <v>0.51867909635927978</v>
      </c>
      <c r="W7" s="8">
        <f t="shared" si="2"/>
        <v>0.54030496007895412</v>
      </c>
      <c r="X7" s="8">
        <f t="shared" si="2"/>
        <v>0.52100398268823522</v>
      </c>
      <c r="Y7" s="8">
        <f t="shared" si="2"/>
        <v>0.52114481306251514</v>
      </c>
      <c r="Z7" s="8">
        <f t="shared" si="2"/>
        <v>0.52037041589941957</v>
      </c>
      <c r="AA7" s="8">
        <f t="shared" si="2"/>
        <v>0.5364658134721233</v>
      </c>
      <c r="AB7" s="8">
        <f t="shared" si="2"/>
        <v>0.55596138566764208</v>
      </c>
      <c r="AC7" s="8">
        <f t="shared" si="2"/>
        <v>0.55330088784496156</v>
      </c>
      <c r="AD7" s="8">
        <f t="shared" si="2"/>
        <v>0.54891440284591508</v>
      </c>
      <c r="AE7" s="8">
        <f t="shared" si="2"/>
        <v>0.5918132542256247</v>
      </c>
      <c r="AF7" s="8">
        <f t="shared" si="2"/>
        <v>0.6227592726455754</v>
      </c>
      <c r="AG7" s="8">
        <f t="shared" si="2"/>
        <v>0.57928387543205673</v>
      </c>
      <c r="AH7" s="8">
        <f t="shared" si="2"/>
        <v>0.5574755129044876</v>
      </c>
      <c r="AI7" s="8">
        <f t="shared" si="2"/>
        <v>0.57616640703297473</v>
      </c>
      <c r="AJ7" s="8">
        <f t="shared" si="2"/>
        <v>0.60977091841718478</v>
      </c>
      <c r="AK7" s="8">
        <f t="shared" si="2"/>
        <v>0.60123953430735178</v>
      </c>
      <c r="AL7" s="8">
        <f t="shared" si="2"/>
        <v>0.60037758628556048</v>
      </c>
      <c r="AM7" s="8">
        <f t="shared" si="2"/>
        <v>0.61432756287195578</v>
      </c>
      <c r="AN7" s="8">
        <f t="shared" si="2"/>
        <v>0.62628188255939865</v>
      </c>
      <c r="AO7" s="8">
        <f t="shared" si="2"/>
        <v>0.61540341345524663</v>
      </c>
      <c r="AP7" s="8">
        <f t="shared" si="2"/>
        <v>0.62024640712066526</v>
      </c>
      <c r="AQ7" s="8">
        <f t="shared" si="2"/>
        <v>0.59834665290573075</v>
      </c>
      <c r="AR7" s="8">
        <f t="shared" si="2"/>
        <v>0.62871585211468051</v>
      </c>
      <c r="AS7" s="8">
        <f t="shared" si="2"/>
        <v>0.61697224847335574</v>
      </c>
      <c r="AT7" s="8">
        <f t="shared" si="2"/>
        <v>0.60765813946899094</v>
      </c>
      <c r="AU7" s="8">
        <f t="shared" si="2"/>
        <v>0.61006671887191566</v>
      </c>
      <c r="AV7" s="8">
        <f t="shared" si="2"/>
        <v>0.62736420222644795</v>
      </c>
      <c r="AW7" s="8">
        <f t="shared" si="2"/>
        <v>0.6450577760072348</v>
      </c>
      <c r="AX7" s="8">
        <f t="shared" si="2"/>
        <v>0.60580217497967592</v>
      </c>
      <c r="AY7" s="8">
        <f t="shared" si="2"/>
        <v>0.54490448088681109</v>
      </c>
      <c r="AZ7" s="8">
        <f t="shared" si="2"/>
        <v>0.55417861182523898</v>
      </c>
      <c r="BA7" s="8">
        <f t="shared" si="2"/>
        <v>0.55225286280605779</v>
      </c>
      <c r="BB7" s="8">
        <f t="shared" si="2"/>
        <v>0.50240249449618801</v>
      </c>
      <c r="BC7" s="8">
        <f t="shared" si="2"/>
        <v>0.53244299386705696</v>
      </c>
      <c r="BD7" s="8">
        <f t="shared" si="2"/>
        <v>0.50995059135895426</v>
      </c>
      <c r="BE7" s="8">
        <f t="shared" si="2"/>
        <v>0.55492802533868779</v>
      </c>
      <c r="BF7" s="8">
        <f t="shared" si="2"/>
        <v>0.55031813569738552</v>
      </c>
      <c r="BG7" s="8">
        <f t="shared" si="2"/>
        <v>0.55318131756686306</v>
      </c>
      <c r="BH7" s="8">
        <f t="shared" si="2"/>
        <v>0.56436070063317267</v>
      </c>
      <c r="BI7" s="8">
        <f t="shared" si="2"/>
        <v>0.6009300040438601</v>
      </c>
      <c r="BJ7" s="8">
        <f t="shared" si="2"/>
        <v>0.5425566453776024</v>
      </c>
      <c r="BK7" s="8">
        <f t="shared" si="2"/>
        <v>0.5606045015857648</v>
      </c>
      <c r="BL7" s="8">
        <f t="shared" si="2"/>
        <v>0.54565992703642774</v>
      </c>
      <c r="BM7" s="8">
        <f t="shared" si="2"/>
        <v>0.5486899763203219</v>
      </c>
      <c r="BN7" s="8">
        <f t="shared" si="2"/>
        <v>0.57025898206052272</v>
      </c>
      <c r="BO7" s="8">
        <f t="shared" ref="BO7:CS7" si="3">BO6/BO4</f>
        <v>0.54069936841843225</v>
      </c>
      <c r="BP7" s="8">
        <f t="shared" si="3"/>
        <v>0.55462787725662188</v>
      </c>
      <c r="BQ7" s="8">
        <f t="shared" si="3"/>
        <v>0.56667961052553917</v>
      </c>
      <c r="BR7" s="8">
        <f t="shared" si="3"/>
        <v>0.56266021612753048</v>
      </c>
      <c r="BS7" s="8">
        <f t="shared" si="3"/>
        <v>0.57967621872091424</v>
      </c>
      <c r="BT7" s="8">
        <f t="shared" si="3"/>
        <v>0.5893233413950778</v>
      </c>
      <c r="BU7" s="8">
        <f t="shared" si="3"/>
        <v>0.60305903448946419</v>
      </c>
      <c r="BV7" s="8">
        <f t="shared" si="3"/>
        <v>0.54401845188914699</v>
      </c>
      <c r="BW7" s="8">
        <f t="shared" si="3"/>
        <v>0.55451052566595793</v>
      </c>
      <c r="BX7" s="8">
        <f t="shared" si="3"/>
        <v>0.54681089083276146</v>
      </c>
      <c r="BY7" s="8">
        <f t="shared" si="3"/>
        <v>0.54322886016058325</v>
      </c>
      <c r="BZ7" s="8">
        <f t="shared" si="3"/>
        <v>0.54546548797043659</v>
      </c>
      <c r="CA7" s="20"/>
      <c r="CB7" s="8"/>
      <c r="CC7" s="8"/>
      <c r="CD7" s="8"/>
      <c r="CE7" s="8"/>
      <c r="CF7" s="8"/>
      <c r="CG7" s="8"/>
      <c r="CH7" s="8">
        <f>CH6/CH4</f>
        <v>0.56312391390172056</v>
      </c>
      <c r="CI7" s="8">
        <f t="shared" si="3"/>
        <v>0.56312391390172056</v>
      </c>
      <c r="CJ7" s="8">
        <f t="shared" si="3"/>
        <v>0.56312391390172056</v>
      </c>
      <c r="CK7" s="8">
        <f t="shared" si="3"/>
        <v>0.56312391390172056</v>
      </c>
      <c r="CL7" s="8">
        <f t="shared" si="3"/>
        <v>0.56312391390172056</v>
      </c>
      <c r="CM7" s="8">
        <f t="shared" si="3"/>
        <v>0.56312391390172056</v>
      </c>
      <c r="CN7" s="8">
        <f t="shared" si="3"/>
        <v>0.56312391390172056</v>
      </c>
      <c r="CO7" s="8">
        <f t="shared" si="3"/>
        <v>0.56312391390172056</v>
      </c>
      <c r="CP7" s="8">
        <f t="shared" si="3"/>
        <v>0.56312391390172056</v>
      </c>
      <c r="CQ7" s="8">
        <f t="shared" si="3"/>
        <v>0.56312391390172056</v>
      </c>
      <c r="CR7" s="8">
        <f t="shared" si="3"/>
        <v>0.56312391390172056</v>
      </c>
      <c r="CS7" s="8">
        <f t="shared" si="3"/>
        <v>0.56312391390172056</v>
      </c>
    </row>
    <row r="8" spans="1:99" x14ac:dyDescent="0.3">
      <c r="A8" s="6" t="s">
        <v>22</v>
      </c>
      <c r="B8" s="12">
        <v>1178997</v>
      </c>
      <c r="C8" s="12">
        <v>1048232</v>
      </c>
      <c r="D8" s="12">
        <v>1247597</v>
      </c>
      <c r="E8" s="12">
        <v>1337890</v>
      </c>
      <c r="F8" s="12">
        <v>1324835</v>
      </c>
      <c r="G8" s="12">
        <v>1070670</v>
      </c>
      <c r="H8" s="12">
        <v>1126998</v>
      </c>
      <c r="I8" s="12">
        <v>997471</v>
      </c>
      <c r="J8" s="12">
        <v>1067159</v>
      </c>
      <c r="K8" s="12">
        <v>1148464</v>
      </c>
      <c r="L8" s="12">
        <v>1081911</v>
      </c>
      <c r="M8" s="12">
        <v>960792</v>
      </c>
      <c r="N8" s="12">
        <v>962438</v>
      </c>
      <c r="O8" s="12">
        <v>1161245</v>
      </c>
      <c r="P8" s="12">
        <v>1262616</v>
      </c>
      <c r="Q8" s="12">
        <v>1028313</v>
      </c>
      <c r="R8" s="12">
        <v>878002</v>
      </c>
      <c r="S8" s="12">
        <v>993731</v>
      </c>
      <c r="T8" s="12">
        <v>950830</v>
      </c>
      <c r="U8" s="12">
        <v>1007519</v>
      </c>
      <c r="V8" s="12">
        <v>1051157</v>
      </c>
      <c r="W8" s="12">
        <v>1124753</v>
      </c>
      <c r="X8" s="12">
        <v>1176693</v>
      </c>
      <c r="Y8" s="12">
        <v>1079993</v>
      </c>
      <c r="Z8" s="12">
        <v>1197088</v>
      </c>
      <c r="AA8" s="12">
        <v>1099844</v>
      </c>
      <c r="AB8" s="12">
        <v>1223779</v>
      </c>
      <c r="AC8" s="12">
        <v>1051294</v>
      </c>
      <c r="AD8" s="12">
        <v>964832</v>
      </c>
      <c r="AE8" s="12">
        <v>1028635</v>
      </c>
      <c r="AF8" s="12">
        <v>1078957</v>
      </c>
      <c r="AG8" s="12">
        <v>1134910</v>
      </c>
      <c r="AH8" s="12">
        <v>1036500</v>
      </c>
      <c r="AI8" s="12">
        <v>1079204</v>
      </c>
      <c r="AJ8" s="12">
        <v>1023077</v>
      </c>
      <c r="AK8" s="12">
        <v>998068</v>
      </c>
      <c r="AL8" s="12">
        <v>901518.20949999883</v>
      </c>
      <c r="AM8" s="12">
        <v>858809.2153000012</v>
      </c>
      <c r="AN8" s="12">
        <v>964274.76890000026</v>
      </c>
      <c r="AO8" s="12">
        <v>973980.41250000033</v>
      </c>
      <c r="AP8" s="12">
        <v>896272.12627500016</v>
      </c>
      <c r="AQ8" s="12">
        <v>886533.3086999997</v>
      </c>
      <c r="AR8" s="12">
        <v>809216.00730000052</v>
      </c>
      <c r="AS8" s="12">
        <v>877996.62540000095</v>
      </c>
      <c r="AT8" s="12">
        <v>834957.00100000051</v>
      </c>
      <c r="AU8" s="12">
        <v>845975.64147499984</v>
      </c>
      <c r="AV8" s="12">
        <v>898728.51740000001</v>
      </c>
      <c r="AW8" s="12">
        <v>615768.96275999851</v>
      </c>
      <c r="AX8" s="12">
        <v>974902.31000000041</v>
      </c>
      <c r="AY8" s="12">
        <v>962739.30000000028</v>
      </c>
      <c r="AZ8" s="12">
        <v>1032489.8400000011</v>
      </c>
      <c r="BA8" s="12">
        <v>1064033.1599999992</v>
      </c>
      <c r="BB8" s="12">
        <v>992829.97</v>
      </c>
      <c r="BC8" s="12">
        <v>990558.66999999946</v>
      </c>
      <c r="BD8" s="12">
        <v>1010104.4799999993</v>
      </c>
      <c r="BE8" s="12">
        <v>906509.18999999948</v>
      </c>
      <c r="BF8" s="12">
        <v>909112.39000000036</v>
      </c>
      <c r="BG8" s="12">
        <v>982070.12000000058</v>
      </c>
      <c r="BH8" s="12">
        <v>1009220.1900000005</v>
      </c>
      <c r="BI8" s="12">
        <v>805754.22999999952</v>
      </c>
      <c r="BJ8" s="12">
        <v>1156709.98</v>
      </c>
      <c r="BK8" s="12">
        <v>1072842.74</v>
      </c>
      <c r="BL8" s="12">
        <v>1154689.51</v>
      </c>
      <c r="BM8" s="12">
        <v>879225.31000000017</v>
      </c>
      <c r="BN8" s="12">
        <v>1175724.3699999987</v>
      </c>
      <c r="BO8" s="12">
        <v>1043502.7100000005</v>
      </c>
      <c r="BP8" s="12">
        <v>1116648.9999999991</v>
      </c>
      <c r="BQ8" s="12">
        <v>1094670.1400000004</v>
      </c>
      <c r="BR8" s="12">
        <v>1145060.4300000004</v>
      </c>
      <c r="BS8" s="12">
        <v>1219698.2999999998</v>
      </c>
      <c r="BT8" s="12">
        <v>1184810.679999999</v>
      </c>
      <c r="BU8" s="12">
        <v>994191.64999999991</v>
      </c>
      <c r="BV8" s="12">
        <v>1248286.2899999998</v>
      </c>
      <c r="BW8" s="12">
        <v>1276898.2399999995</v>
      </c>
      <c r="BX8" s="12">
        <v>1265896.1600000001</v>
      </c>
      <c r="BY8" s="12">
        <v>1266127.3599999985</v>
      </c>
      <c r="BZ8" s="12">
        <v>1287311.3699999996</v>
      </c>
      <c r="CA8" s="21"/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1454112</v>
      </c>
      <c r="CI8" s="12">
        <v>1454112</v>
      </c>
      <c r="CJ8" s="12">
        <v>1454112</v>
      </c>
      <c r="CK8" s="12">
        <v>1454112</v>
      </c>
      <c r="CL8" s="12">
        <v>1454112</v>
      </c>
      <c r="CM8" s="12">
        <v>1454112</v>
      </c>
      <c r="CN8" s="12">
        <v>1454112</v>
      </c>
      <c r="CO8" s="12">
        <v>1454112</v>
      </c>
      <c r="CP8" s="12">
        <v>1454112</v>
      </c>
      <c r="CQ8" s="12">
        <v>1454112</v>
      </c>
      <c r="CR8" s="12">
        <v>1454112</v>
      </c>
      <c r="CS8" s="12">
        <v>1454112</v>
      </c>
    </row>
    <row r="9" spans="1:99" x14ac:dyDescent="0.3">
      <c r="A9" s="4" t="s">
        <v>23</v>
      </c>
      <c r="B9" s="12">
        <v>780743.70535399986</v>
      </c>
      <c r="C9" s="12">
        <v>857822.80139999988</v>
      </c>
      <c r="D9" s="12">
        <v>941918.04900000035</v>
      </c>
      <c r="E9" s="12">
        <v>1060909.9826650012</v>
      </c>
      <c r="F9" s="12">
        <v>1253239.9441120003</v>
      </c>
      <c r="G9" s="12">
        <v>1027499.4152999995</v>
      </c>
      <c r="H9" s="12">
        <v>944804.68719999981</v>
      </c>
      <c r="I9" s="12">
        <v>1035113.3299</v>
      </c>
      <c r="J9" s="12">
        <v>848682.86459999997</v>
      </c>
      <c r="K9" s="12">
        <v>943103.81410000031</v>
      </c>
      <c r="L9" s="12">
        <v>867831.37559999898</v>
      </c>
      <c r="M9" s="12">
        <v>740252.6837000004</v>
      </c>
      <c r="N9" s="12">
        <v>697976.15154999983</v>
      </c>
      <c r="O9" s="12">
        <v>793725.08649999963</v>
      </c>
      <c r="P9" s="12">
        <v>1185043.4029999999</v>
      </c>
      <c r="Q9" s="12">
        <v>916635.35590000032</v>
      </c>
      <c r="R9" s="12">
        <v>891368.88581999997</v>
      </c>
      <c r="S9" s="12">
        <v>771770.61169999954</v>
      </c>
      <c r="T9" s="12">
        <v>798909.75110000011</v>
      </c>
      <c r="U9" s="12">
        <v>875552.20450000034</v>
      </c>
      <c r="V9" s="12">
        <v>846178.87419999961</v>
      </c>
      <c r="W9" s="12">
        <v>980221.32079999975</v>
      </c>
      <c r="X9" s="12">
        <v>849566.80489999987</v>
      </c>
      <c r="Y9" s="12">
        <v>918563.03020000015</v>
      </c>
      <c r="Z9" s="12">
        <v>1033996.0698000001</v>
      </c>
      <c r="AA9" s="12">
        <v>1026049.6949999996</v>
      </c>
      <c r="AB9" s="12">
        <v>1021366.4301799998</v>
      </c>
      <c r="AC9" s="12">
        <v>1013003.9385999998</v>
      </c>
      <c r="AD9" s="12">
        <v>889523.36599999992</v>
      </c>
      <c r="AE9" s="12">
        <v>880695.0299750003</v>
      </c>
      <c r="AF9" s="12">
        <v>744651.48060000001</v>
      </c>
      <c r="AG9" s="12">
        <v>872661.31840000022</v>
      </c>
      <c r="AH9" s="12">
        <v>855276.76759999979</v>
      </c>
      <c r="AI9" s="12">
        <v>971361.5354000004</v>
      </c>
      <c r="AJ9" s="12">
        <v>871301.94900000107</v>
      </c>
      <c r="AK9" s="12">
        <v>816341.78560000029</v>
      </c>
      <c r="AL9" s="12">
        <v>892291.2616000002</v>
      </c>
      <c r="AM9" s="12">
        <v>871286.36319999979</v>
      </c>
      <c r="AN9" s="12">
        <v>945998.4166000007</v>
      </c>
      <c r="AO9" s="12">
        <v>973174.46520000079</v>
      </c>
      <c r="AP9" s="12">
        <v>887739.33320000034</v>
      </c>
      <c r="AQ9" s="12">
        <v>866882.05760000111</v>
      </c>
      <c r="AR9" s="12">
        <v>874775.92049999977</v>
      </c>
      <c r="AS9" s="12">
        <v>812894.86620000238</v>
      </c>
      <c r="AT9" s="12">
        <v>781009.27809999895</v>
      </c>
      <c r="AU9" s="12">
        <v>785268.65580000076</v>
      </c>
      <c r="AV9" s="12">
        <v>855606.61239999998</v>
      </c>
      <c r="AW9" s="12">
        <v>820935.5759599997</v>
      </c>
      <c r="AX9" s="12">
        <v>812998.02540000167</v>
      </c>
      <c r="AY9" s="12">
        <v>801989.77789999952</v>
      </c>
      <c r="AZ9" s="12">
        <v>958712.15780000028</v>
      </c>
      <c r="BA9" s="12">
        <v>912794.14549999963</v>
      </c>
      <c r="BB9" s="12">
        <v>1033944.3920999996</v>
      </c>
      <c r="BC9" s="12">
        <v>1031768.5523999995</v>
      </c>
      <c r="BD9" s="12">
        <v>1068776.5002000006</v>
      </c>
      <c r="BE9" s="12">
        <v>1023218.4799999988</v>
      </c>
      <c r="BF9" s="12">
        <v>796894.29500000027</v>
      </c>
      <c r="BG9" s="12">
        <v>900686.94570000004</v>
      </c>
      <c r="BH9" s="12">
        <v>911911.33959999983</v>
      </c>
      <c r="BI9" s="12">
        <v>1043786.6195999981</v>
      </c>
      <c r="BJ9" s="12">
        <v>1040701.9062000004</v>
      </c>
      <c r="BK9" s="12">
        <v>978848.07540000125</v>
      </c>
      <c r="BL9" s="12">
        <v>1242921.5706000002</v>
      </c>
      <c r="BM9" s="12">
        <v>883504.35570000077</v>
      </c>
      <c r="BN9" s="12">
        <v>1194524.1579999998</v>
      </c>
      <c r="BO9" s="12">
        <v>1055421.4451999997</v>
      </c>
      <c r="BP9" s="12">
        <v>1202402.8088999994</v>
      </c>
      <c r="BQ9" s="12">
        <v>1222789.5195999998</v>
      </c>
      <c r="BR9" s="12">
        <v>1158250.1835</v>
      </c>
      <c r="BS9" s="12">
        <v>1244214.4479999999</v>
      </c>
      <c r="BT9" s="12">
        <v>1197855.741699999</v>
      </c>
      <c r="BU9" s="12">
        <v>1235636.118599999</v>
      </c>
      <c r="BV9" s="12">
        <v>1244746.6442000004</v>
      </c>
      <c r="BW9" s="12">
        <v>1181447.5648000005</v>
      </c>
      <c r="BX9" s="12">
        <v>1283655.2568000015</v>
      </c>
      <c r="BY9" s="12">
        <v>1278292.3075999997</v>
      </c>
      <c r="BZ9" s="12">
        <v>1311854.4126000009</v>
      </c>
      <c r="CA9" s="21"/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</row>
    <row r="10" spans="1:99" x14ac:dyDescent="0.3">
      <c r="A10" s="4" t="s">
        <v>3</v>
      </c>
      <c r="B10" s="12">
        <v>986476.2899999998</v>
      </c>
      <c r="C10" s="12">
        <v>1027264.3199999998</v>
      </c>
      <c r="D10" s="12">
        <v>1045139.2100000002</v>
      </c>
      <c r="E10" s="12">
        <v>1137611.8600000001</v>
      </c>
      <c r="F10" s="12">
        <v>1241896.07</v>
      </c>
      <c r="G10" s="12">
        <v>1217521.19</v>
      </c>
      <c r="H10" s="12">
        <v>1227217.33</v>
      </c>
      <c r="I10" s="12">
        <v>1154376.17</v>
      </c>
      <c r="J10" s="12">
        <v>1144498.6499999999</v>
      </c>
      <c r="K10" s="12">
        <v>1142846.55</v>
      </c>
      <c r="L10" s="12">
        <v>1154025.8299999998</v>
      </c>
      <c r="M10" s="12">
        <v>1215375.3800000001</v>
      </c>
      <c r="N10" s="12">
        <v>1069703.7</v>
      </c>
      <c r="O10" s="12">
        <v>1063358.5000000002</v>
      </c>
      <c r="P10" s="12">
        <v>1074721.1400000001</v>
      </c>
      <c r="Q10" s="12">
        <v>1082836.2100000002</v>
      </c>
      <c r="R10" s="12">
        <v>1126793.77</v>
      </c>
      <c r="S10" s="12">
        <v>1096438.08</v>
      </c>
      <c r="T10" s="12">
        <v>1075773.7</v>
      </c>
      <c r="U10" s="12">
        <v>1102005.98</v>
      </c>
      <c r="V10" s="12">
        <v>1095857.92</v>
      </c>
      <c r="W10" s="12">
        <v>1124804.0000000002</v>
      </c>
      <c r="X10" s="12">
        <v>1113847.96</v>
      </c>
      <c r="Y10" s="12">
        <v>951472.40999999992</v>
      </c>
      <c r="Z10" s="12">
        <v>1056685.74</v>
      </c>
      <c r="AA10" s="12">
        <v>1116250.9100000001</v>
      </c>
      <c r="AB10" s="12">
        <v>1079122.05</v>
      </c>
      <c r="AC10" s="12">
        <v>1149914.21</v>
      </c>
      <c r="AD10" s="12">
        <v>1121217.77</v>
      </c>
      <c r="AE10" s="12">
        <v>1070282.76</v>
      </c>
      <c r="AF10" s="12">
        <v>1056788.9500000002</v>
      </c>
      <c r="AG10" s="12">
        <v>1111495.6100000001</v>
      </c>
      <c r="AH10" s="12">
        <v>1078818.27</v>
      </c>
      <c r="AI10" s="12">
        <v>1202663.9099999999</v>
      </c>
      <c r="AJ10" s="12">
        <v>1215401.17</v>
      </c>
      <c r="AK10" s="12">
        <v>1145072.3800000001</v>
      </c>
      <c r="AL10" s="12">
        <v>1075299.6000000001</v>
      </c>
      <c r="AM10" s="12">
        <v>1112308.48</v>
      </c>
      <c r="AN10" s="12">
        <v>1159270.8600000001</v>
      </c>
      <c r="AO10" s="12">
        <v>1292373.2300000002</v>
      </c>
      <c r="AP10" s="12">
        <v>1253928.82</v>
      </c>
      <c r="AQ10" s="12">
        <v>1193528.57</v>
      </c>
      <c r="AR10" s="12">
        <v>1187968.74</v>
      </c>
      <c r="AS10" s="12">
        <v>1183800.33</v>
      </c>
      <c r="AT10" s="12">
        <v>1131900.57</v>
      </c>
      <c r="AU10" s="12">
        <v>1138982.8600000001</v>
      </c>
      <c r="AV10" s="12">
        <v>1126086.9099999999</v>
      </c>
      <c r="AW10" s="12">
        <v>978982.76</v>
      </c>
      <c r="AX10" s="12">
        <v>1089848.6000000001</v>
      </c>
      <c r="AY10" s="12">
        <v>1094620.8900000001</v>
      </c>
      <c r="AZ10" s="12">
        <v>1145298.82</v>
      </c>
      <c r="BA10" s="12">
        <v>1171818.98</v>
      </c>
      <c r="BB10" s="12">
        <v>1206600.4300000002</v>
      </c>
      <c r="BC10" s="12">
        <v>1203234.8700000001</v>
      </c>
      <c r="BD10" s="12">
        <v>1284353.4099999999</v>
      </c>
      <c r="BE10" s="12">
        <v>1210872.57</v>
      </c>
      <c r="BF10" s="12">
        <v>1139761.57</v>
      </c>
      <c r="BG10" s="12">
        <v>1125881.83</v>
      </c>
      <c r="BH10" s="12">
        <v>1097413.79</v>
      </c>
      <c r="BI10" s="12">
        <v>1088514.9099999999</v>
      </c>
      <c r="BJ10" s="12">
        <v>1106120.97</v>
      </c>
      <c r="BK10" s="12">
        <v>1136709.8699999999</v>
      </c>
      <c r="BL10" s="12">
        <v>1220916.5799999998</v>
      </c>
      <c r="BM10" s="12">
        <v>1237187.79</v>
      </c>
      <c r="BN10" s="12">
        <v>1183132.25</v>
      </c>
      <c r="BO10" s="12">
        <v>1216508.7000000002</v>
      </c>
      <c r="BP10" s="12">
        <v>1284022.75</v>
      </c>
      <c r="BQ10" s="12">
        <v>1325601.7900000003</v>
      </c>
      <c r="BR10" s="12">
        <v>1329629.44</v>
      </c>
      <c r="BS10" s="12">
        <v>1321813.2</v>
      </c>
      <c r="BT10" s="12">
        <v>1235614.75</v>
      </c>
      <c r="BU10" s="12">
        <v>1168619.4200000002</v>
      </c>
      <c r="BV10" s="12">
        <v>1231745.3600000001</v>
      </c>
      <c r="BW10" s="12">
        <v>1293105.5899999999</v>
      </c>
      <c r="BX10" s="12">
        <v>1347601.91</v>
      </c>
      <c r="BY10" s="12">
        <v>1279220.8299999998</v>
      </c>
      <c r="BZ10" s="12">
        <v>1253568.8799999999</v>
      </c>
      <c r="CA10" s="18"/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1317787</v>
      </c>
      <c r="CI10" s="12">
        <v>1317787</v>
      </c>
      <c r="CJ10" s="12">
        <v>1317787</v>
      </c>
      <c r="CK10" s="12">
        <v>1317787</v>
      </c>
      <c r="CL10" s="12">
        <v>1317787</v>
      </c>
      <c r="CM10" s="12">
        <v>1317787</v>
      </c>
      <c r="CN10" s="12">
        <v>1317787</v>
      </c>
      <c r="CO10" s="12">
        <v>1317787</v>
      </c>
      <c r="CP10" s="12">
        <v>1317787</v>
      </c>
      <c r="CQ10" s="12">
        <v>1317787</v>
      </c>
      <c r="CR10" s="12">
        <v>1317787</v>
      </c>
      <c r="CS10" s="12">
        <v>1317787</v>
      </c>
    </row>
    <row r="11" spans="1:99" x14ac:dyDescent="0.3">
      <c r="A11" s="4" t="s">
        <v>4</v>
      </c>
      <c r="B11" s="12">
        <v>577922.8899999999</v>
      </c>
      <c r="C11" s="12">
        <v>576822.34</v>
      </c>
      <c r="D11" s="12">
        <v>575509.03999999992</v>
      </c>
      <c r="E11" s="12">
        <v>575051.50999999989</v>
      </c>
      <c r="F11" s="12">
        <v>574947.99</v>
      </c>
      <c r="G11" s="12">
        <v>573245.10999999987</v>
      </c>
      <c r="H11" s="12">
        <v>605715.24</v>
      </c>
      <c r="I11" s="12">
        <v>609019.39000000013</v>
      </c>
      <c r="J11" s="12">
        <v>633692.01</v>
      </c>
      <c r="K11" s="12">
        <v>632879.66000000015</v>
      </c>
      <c r="L11" s="12">
        <v>626645.25</v>
      </c>
      <c r="M11" s="12">
        <v>630976.48999999987</v>
      </c>
      <c r="N11" s="12">
        <v>560311.35</v>
      </c>
      <c r="O11" s="12">
        <v>574775.93000000005</v>
      </c>
      <c r="P11" s="12">
        <v>574911.41</v>
      </c>
      <c r="Q11" s="12">
        <v>574949.17000000004</v>
      </c>
      <c r="R11" s="12">
        <v>576147.23</v>
      </c>
      <c r="S11" s="12">
        <v>1048465.1099999999</v>
      </c>
      <c r="T11" s="12">
        <v>651914.11</v>
      </c>
      <c r="U11" s="12">
        <v>675973.80999999982</v>
      </c>
      <c r="V11" s="12">
        <v>835049.45000000007</v>
      </c>
      <c r="W11" s="12">
        <v>686449.22999999986</v>
      </c>
      <c r="X11" s="12">
        <v>700612.85</v>
      </c>
      <c r="Y11" s="12">
        <v>654660.1399999999</v>
      </c>
      <c r="Z11" s="12">
        <v>678427.61</v>
      </c>
      <c r="AA11" s="12">
        <v>678166.79</v>
      </c>
      <c r="AB11" s="12">
        <v>682786.39</v>
      </c>
      <c r="AC11" s="12">
        <v>683488.33</v>
      </c>
      <c r="AD11" s="12">
        <v>681088.08999999985</v>
      </c>
      <c r="AE11" s="12">
        <v>692934.72000000009</v>
      </c>
      <c r="AF11" s="12">
        <v>691386.7</v>
      </c>
      <c r="AG11" s="12">
        <v>690970.12</v>
      </c>
      <c r="AH11" s="12">
        <v>693158.92</v>
      </c>
      <c r="AI11" s="12">
        <v>693811.59</v>
      </c>
      <c r="AJ11" s="12">
        <v>687024.55</v>
      </c>
      <c r="AK11" s="12">
        <v>774501.72999999986</v>
      </c>
      <c r="AL11" s="12">
        <v>787504.53</v>
      </c>
      <c r="AM11" s="12">
        <v>797779.62999999989</v>
      </c>
      <c r="AN11" s="12">
        <v>812266.91000000015</v>
      </c>
      <c r="AO11" s="12">
        <v>812883.83</v>
      </c>
      <c r="AP11" s="12">
        <v>811204.46</v>
      </c>
      <c r="AQ11" s="12">
        <v>813202.75999999989</v>
      </c>
      <c r="AR11" s="12">
        <v>804683.66</v>
      </c>
      <c r="AS11" s="12">
        <v>832311.92</v>
      </c>
      <c r="AT11" s="12">
        <v>833954.62</v>
      </c>
      <c r="AU11" s="12">
        <v>829706.99</v>
      </c>
      <c r="AV11" s="12">
        <v>824928.97</v>
      </c>
      <c r="AW11" s="12">
        <v>843156.18</v>
      </c>
      <c r="AX11" s="12">
        <v>821293.93</v>
      </c>
      <c r="AY11" s="12">
        <v>821557.87</v>
      </c>
      <c r="AZ11" s="12">
        <v>822717.55</v>
      </c>
      <c r="BA11" s="12">
        <v>818883.54999999993</v>
      </c>
      <c r="BB11" s="12">
        <v>819956.54999999993</v>
      </c>
      <c r="BC11" s="12">
        <v>819037.6</v>
      </c>
      <c r="BD11" s="12">
        <v>816825.64000000013</v>
      </c>
      <c r="BE11" s="12">
        <v>806740.81</v>
      </c>
      <c r="BF11" s="12">
        <v>807772.05</v>
      </c>
      <c r="BG11" s="12">
        <v>839043.87</v>
      </c>
      <c r="BH11" s="12">
        <v>841273.2</v>
      </c>
      <c r="BI11" s="12">
        <v>900235.72</v>
      </c>
      <c r="BJ11" s="12">
        <v>903033.45</v>
      </c>
      <c r="BK11" s="12">
        <v>859097.95</v>
      </c>
      <c r="BL11" s="12">
        <v>878281.14</v>
      </c>
      <c r="BM11" s="12">
        <v>878031.63</v>
      </c>
      <c r="BN11" s="12">
        <v>877911.28</v>
      </c>
      <c r="BO11" s="12">
        <v>890947.53</v>
      </c>
      <c r="BP11" s="12">
        <v>885189.36</v>
      </c>
      <c r="BQ11" s="12">
        <v>893932.34999999986</v>
      </c>
      <c r="BR11" s="12">
        <v>897864.15</v>
      </c>
      <c r="BS11" s="12">
        <v>896698.2</v>
      </c>
      <c r="BT11" s="12">
        <v>889438.3</v>
      </c>
      <c r="BU11" s="12">
        <v>813198.53</v>
      </c>
      <c r="BV11" s="12">
        <v>912063.57</v>
      </c>
      <c r="BW11" s="12">
        <v>912576.95</v>
      </c>
      <c r="BX11" s="12">
        <v>926307.70999999985</v>
      </c>
      <c r="BY11" s="12">
        <v>937053.75</v>
      </c>
      <c r="BZ11" s="12">
        <v>940582.39000000013</v>
      </c>
      <c r="CA11" s="18"/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884464</v>
      </c>
      <c r="CI11" s="12">
        <v>884464</v>
      </c>
      <c r="CJ11" s="12">
        <v>884464</v>
      </c>
      <c r="CK11" s="12">
        <v>884464</v>
      </c>
      <c r="CL11" s="12">
        <v>884464</v>
      </c>
      <c r="CM11" s="12">
        <v>884464</v>
      </c>
      <c r="CN11" s="12">
        <v>884464</v>
      </c>
      <c r="CO11" s="12">
        <v>884464</v>
      </c>
      <c r="CP11" s="12">
        <v>884464</v>
      </c>
      <c r="CQ11" s="12">
        <v>884464</v>
      </c>
      <c r="CR11" s="12">
        <v>884464</v>
      </c>
      <c r="CS11" s="12">
        <v>884464</v>
      </c>
    </row>
    <row r="12" spans="1:99" x14ac:dyDescent="0.3">
      <c r="A12" s="4"/>
      <c r="CA12" s="18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</row>
    <row r="13" spans="1:99" x14ac:dyDescent="0.3">
      <c r="A13" s="4" t="s">
        <v>5</v>
      </c>
      <c r="B13" s="12">
        <v>779209.62</v>
      </c>
      <c r="C13" s="12">
        <v>779067.33</v>
      </c>
      <c r="D13" s="12">
        <v>899210.57</v>
      </c>
      <c r="E13" s="12">
        <v>993579.55</v>
      </c>
      <c r="F13" s="12">
        <v>1068830.97</v>
      </c>
      <c r="G13" s="12">
        <v>1020733.37</v>
      </c>
      <c r="H13" s="12">
        <v>1115300.6499999999</v>
      </c>
      <c r="I13" s="12">
        <v>1047893.82</v>
      </c>
      <c r="J13" s="12">
        <v>1012797.46</v>
      </c>
      <c r="K13" s="12">
        <v>1072685.33</v>
      </c>
      <c r="L13" s="12">
        <v>1005599.75</v>
      </c>
      <c r="M13" s="12">
        <v>917571.36</v>
      </c>
      <c r="N13" s="12">
        <v>811374.86</v>
      </c>
      <c r="O13" s="12">
        <v>869900.13</v>
      </c>
      <c r="P13" s="12">
        <v>1000121.28</v>
      </c>
      <c r="Q13" s="12">
        <v>978361.45</v>
      </c>
      <c r="R13" s="12">
        <v>902737.81</v>
      </c>
      <c r="S13" s="12">
        <v>912735.35</v>
      </c>
      <c r="T13" s="12">
        <v>1031970.4</v>
      </c>
      <c r="U13" s="12">
        <v>980589.78</v>
      </c>
      <c r="V13" s="12">
        <v>1180233.83</v>
      </c>
      <c r="W13" s="12">
        <v>1383103.92</v>
      </c>
      <c r="X13" s="12">
        <v>1651242.57</v>
      </c>
      <c r="Y13" s="12">
        <v>469636.18</v>
      </c>
      <c r="Z13" s="12">
        <v>1186527.53</v>
      </c>
      <c r="AA13" s="12">
        <v>1088101.1599999999</v>
      </c>
      <c r="AB13" s="12">
        <v>1123968.97</v>
      </c>
      <c r="AC13" s="12">
        <v>1196665.22</v>
      </c>
      <c r="AD13" s="12">
        <v>1088841.49</v>
      </c>
      <c r="AE13" s="12">
        <v>1211910.74</v>
      </c>
      <c r="AF13" s="12">
        <v>1107084.8700000001</v>
      </c>
      <c r="AG13" s="12">
        <v>915093.48</v>
      </c>
      <c r="AH13" s="12">
        <v>797811.82</v>
      </c>
      <c r="AI13" s="12">
        <v>807241.6</v>
      </c>
      <c r="AJ13" s="12">
        <v>788463.5</v>
      </c>
      <c r="AK13" s="12">
        <v>732681.06</v>
      </c>
      <c r="AL13" s="12">
        <v>951809.18</v>
      </c>
      <c r="AM13" s="12">
        <v>993221.25</v>
      </c>
      <c r="AN13" s="12">
        <v>1129650.44</v>
      </c>
      <c r="AO13" s="12">
        <v>1090363.0900000001</v>
      </c>
      <c r="AP13" s="12">
        <v>1036200.76</v>
      </c>
      <c r="AQ13" s="12">
        <v>1029964.84</v>
      </c>
      <c r="AR13" s="12">
        <v>1033427.11</v>
      </c>
      <c r="AS13" s="12">
        <v>1036468.34</v>
      </c>
      <c r="AT13" s="12">
        <v>1093876.21</v>
      </c>
      <c r="AU13" s="12">
        <v>973812.56</v>
      </c>
      <c r="AV13" s="12">
        <v>920736.15</v>
      </c>
      <c r="AW13" s="12">
        <v>946973.81</v>
      </c>
      <c r="AX13" s="12">
        <v>894476.74</v>
      </c>
      <c r="AY13" s="12">
        <v>901587.62</v>
      </c>
      <c r="AZ13" s="12">
        <v>1058242.71</v>
      </c>
      <c r="BA13" s="12">
        <v>1036934.2400000001</v>
      </c>
      <c r="BB13" s="12">
        <v>1162646.5199999998</v>
      </c>
      <c r="BC13" s="12">
        <v>1135614.82</v>
      </c>
      <c r="BD13" s="12">
        <v>1255172.5</v>
      </c>
      <c r="BE13" s="12">
        <v>1248567.71</v>
      </c>
      <c r="BF13" s="12">
        <v>986021.67</v>
      </c>
      <c r="BG13" s="12">
        <v>1065353.5900000001</v>
      </c>
      <c r="BH13" s="12">
        <v>1018099.19</v>
      </c>
      <c r="BI13" s="12">
        <v>776331.62</v>
      </c>
      <c r="BJ13" s="12">
        <v>1043399.8</v>
      </c>
      <c r="BK13" s="12">
        <v>1036700.39</v>
      </c>
      <c r="BL13" s="12">
        <v>1253864.1700000002</v>
      </c>
      <c r="BM13" s="12">
        <v>1068920.1199999999</v>
      </c>
      <c r="BN13" s="12">
        <v>1134474.8</v>
      </c>
      <c r="BO13" s="12">
        <v>1255008.46</v>
      </c>
      <c r="BP13" s="12">
        <v>1409690.3900000001</v>
      </c>
      <c r="BQ13" s="12">
        <v>1452548.26</v>
      </c>
      <c r="BR13" s="12">
        <v>1359151.4</v>
      </c>
      <c r="BS13" s="12">
        <v>1249283.8899999999</v>
      </c>
      <c r="BT13" s="12">
        <v>1203371.7000000002</v>
      </c>
      <c r="BU13" s="12">
        <v>1115380.8099999998</v>
      </c>
      <c r="BV13" s="12">
        <v>1102401</v>
      </c>
      <c r="BW13" s="12">
        <v>1030286</v>
      </c>
      <c r="BX13" s="12">
        <v>1214182.1200000001</v>
      </c>
      <c r="BY13" s="12">
        <v>1227894.1100000001</v>
      </c>
      <c r="BZ13" s="12">
        <v>1289104.32</v>
      </c>
      <c r="CA13" s="18"/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1377308</v>
      </c>
      <c r="CI13" s="12">
        <v>1377308</v>
      </c>
      <c r="CJ13" s="12">
        <v>1377308</v>
      </c>
      <c r="CK13" s="12">
        <v>1377308</v>
      </c>
      <c r="CL13" s="12">
        <v>1377308</v>
      </c>
      <c r="CM13" s="12">
        <v>1377308</v>
      </c>
      <c r="CN13" s="12">
        <v>1377308</v>
      </c>
      <c r="CO13" s="12">
        <v>1377308</v>
      </c>
      <c r="CP13" s="12">
        <v>1377308</v>
      </c>
      <c r="CQ13" s="12">
        <v>1377308</v>
      </c>
      <c r="CR13" s="12">
        <v>1377308</v>
      </c>
      <c r="CS13" s="12">
        <v>1377308</v>
      </c>
    </row>
    <row r="14" spans="1:99" x14ac:dyDescent="0.3">
      <c r="A14" s="4" t="s">
        <v>6</v>
      </c>
      <c r="B14" s="12">
        <v>481821.8</v>
      </c>
      <c r="C14" s="12">
        <v>432445.91</v>
      </c>
      <c r="D14" s="12">
        <v>447191.98</v>
      </c>
      <c r="E14" s="12">
        <v>495667.31000000006</v>
      </c>
      <c r="F14" s="12">
        <v>552365.96000000008</v>
      </c>
      <c r="G14" s="12">
        <v>518882.99</v>
      </c>
      <c r="H14" s="12">
        <v>565961.25</v>
      </c>
      <c r="I14" s="12">
        <v>606876.5</v>
      </c>
      <c r="J14" s="12">
        <v>607170.4800000001</v>
      </c>
      <c r="K14" s="12">
        <v>584542.77</v>
      </c>
      <c r="L14" s="12">
        <v>723079.12</v>
      </c>
      <c r="M14" s="12">
        <v>810846.11</v>
      </c>
      <c r="N14" s="12">
        <v>505430.18</v>
      </c>
      <c r="O14" s="12">
        <v>463086.29</v>
      </c>
      <c r="P14" s="12">
        <v>542051.55999999994</v>
      </c>
      <c r="Q14" s="12">
        <v>515162.41999999993</v>
      </c>
      <c r="R14" s="12">
        <v>487906.37</v>
      </c>
      <c r="S14" s="12">
        <v>-10170.909999999916</v>
      </c>
      <c r="T14" s="12">
        <v>418326.86999999994</v>
      </c>
      <c r="U14" s="12">
        <v>419327.6</v>
      </c>
      <c r="V14" s="12">
        <v>294571.32999999996</v>
      </c>
      <c r="W14" s="12">
        <v>446206.36999999994</v>
      </c>
      <c r="X14" s="12">
        <v>483183.49999999994</v>
      </c>
      <c r="Y14" s="12">
        <v>674714.64999999991</v>
      </c>
      <c r="Z14" s="12">
        <v>423879.06</v>
      </c>
      <c r="AA14" s="12">
        <v>374099.97</v>
      </c>
      <c r="AB14" s="12">
        <v>443616.98999999987</v>
      </c>
      <c r="AC14" s="12">
        <v>346437.83999999997</v>
      </c>
      <c r="AD14" s="12">
        <v>476008.1700000001</v>
      </c>
      <c r="AE14" s="12">
        <v>461334.93000000005</v>
      </c>
      <c r="AF14" s="12">
        <v>351658.64999999991</v>
      </c>
      <c r="AG14" s="12">
        <v>490893.5400000001</v>
      </c>
      <c r="AH14" s="12">
        <v>522856.12999999995</v>
      </c>
      <c r="AI14" s="12">
        <v>531199.36</v>
      </c>
      <c r="AJ14" s="12">
        <v>526907.23</v>
      </c>
      <c r="AK14" s="12">
        <v>464382.1</v>
      </c>
      <c r="AL14" s="12">
        <v>385707.82999999996</v>
      </c>
      <c r="AM14" s="12">
        <v>391540.32999999996</v>
      </c>
      <c r="AN14" s="12">
        <v>376724.83999999997</v>
      </c>
      <c r="AO14" s="12">
        <v>368572.63</v>
      </c>
      <c r="AP14" s="12">
        <v>406875.63000000006</v>
      </c>
      <c r="AQ14" s="12">
        <v>459958.0500000001</v>
      </c>
      <c r="AR14" s="12">
        <v>396605.48000000004</v>
      </c>
      <c r="AS14" s="12">
        <v>484215.14</v>
      </c>
      <c r="AT14" s="12">
        <v>393853.06000000006</v>
      </c>
      <c r="AU14" s="12">
        <v>369316.61000000004</v>
      </c>
      <c r="AV14" s="12">
        <v>389048.71</v>
      </c>
      <c r="AW14" s="12">
        <v>178699.78</v>
      </c>
      <c r="AX14" s="12">
        <v>300156.55000000005</v>
      </c>
      <c r="AY14" s="12">
        <v>293489.13000000006</v>
      </c>
      <c r="AZ14" s="12">
        <v>307379.53000000003</v>
      </c>
      <c r="BA14" s="12">
        <v>314695.65000000008</v>
      </c>
      <c r="BB14" s="12">
        <v>343736.66</v>
      </c>
      <c r="BC14" s="12">
        <v>324451.56999999995</v>
      </c>
      <c r="BD14" s="12">
        <v>362459.97000000003</v>
      </c>
      <c r="BE14" s="12">
        <v>407463.97000000003</v>
      </c>
      <c r="BF14" s="12">
        <v>400196.95000000007</v>
      </c>
      <c r="BG14" s="12">
        <v>438345.96</v>
      </c>
      <c r="BH14" s="12">
        <v>460920.07000000007</v>
      </c>
      <c r="BI14" s="12">
        <v>381436.70999999996</v>
      </c>
      <c r="BJ14" s="12">
        <v>410641.20999999996</v>
      </c>
      <c r="BK14" s="12">
        <v>336246.26</v>
      </c>
      <c r="BL14" s="12">
        <v>335485.62999999995</v>
      </c>
      <c r="BM14" s="12">
        <v>357524.17999999993</v>
      </c>
      <c r="BN14" s="12">
        <v>425342.14999999997</v>
      </c>
      <c r="BO14" s="12">
        <v>408343.78000000009</v>
      </c>
      <c r="BP14" s="12">
        <v>393043.26999999996</v>
      </c>
      <c r="BQ14" s="12">
        <v>418439.45</v>
      </c>
      <c r="BR14" s="12">
        <v>457652.8</v>
      </c>
      <c r="BS14" s="12">
        <v>455648.75999999989</v>
      </c>
      <c r="BT14" s="12">
        <v>513807.00999999995</v>
      </c>
      <c r="BU14" s="12">
        <v>781177.07</v>
      </c>
      <c r="BV14" s="12">
        <v>441163.30999999982</v>
      </c>
      <c r="BW14" s="12">
        <v>411853.72999999992</v>
      </c>
      <c r="BX14" s="12">
        <v>484727.67</v>
      </c>
      <c r="BY14" s="12">
        <v>477148.99000000005</v>
      </c>
      <c r="BZ14" s="12">
        <v>425989.55999999994</v>
      </c>
      <c r="CA14" s="18"/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451477</v>
      </c>
      <c r="CI14" s="12">
        <v>451477</v>
      </c>
      <c r="CJ14" s="12">
        <v>451477</v>
      </c>
      <c r="CK14" s="12">
        <v>451477</v>
      </c>
      <c r="CL14" s="12">
        <v>451477</v>
      </c>
      <c r="CM14" s="12">
        <v>451477</v>
      </c>
      <c r="CN14" s="12">
        <v>451477</v>
      </c>
      <c r="CO14" s="12">
        <v>451477</v>
      </c>
      <c r="CP14" s="12">
        <v>451477</v>
      </c>
      <c r="CQ14" s="12">
        <v>451477</v>
      </c>
      <c r="CR14" s="12">
        <v>451477</v>
      </c>
      <c r="CS14" s="12">
        <v>451477</v>
      </c>
    </row>
    <row r="15" spans="1:99" x14ac:dyDescent="0.3">
      <c r="A15" s="6" t="s">
        <v>7</v>
      </c>
      <c r="B15" s="9">
        <f>SUM(B10:B14)</f>
        <v>2825430.5999999996</v>
      </c>
      <c r="C15" s="9">
        <f t="shared" ref="C15:BN15" si="4">SUM(C10:C14)</f>
        <v>2815599.9</v>
      </c>
      <c r="D15" s="9">
        <f t="shared" si="4"/>
        <v>2967050.8</v>
      </c>
      <c r="E15" s="9">
        <f t="shared" si="4"/>
        <v>3201910.23</v>
      </c>
      <c r="F15" s="9">
        <f t="shared" si="4"/>
        <v>3438040.99</v>
      </c>
      <c r="G15" s="9">
        <f t="shared" si="4"/>
        <v>3330382.66</v>
      </c>
      <c r="H15" s="9">
        <f t="shared" si="4"/>
        <v>3514194.4699999997</v>
      </c>
      <c r="I15" s="9">
        <f t="shared" si="4"/>
        <v>3418165.88</v>
      </c>
      <c r="J15" s="9">
        <f t="shared" si="4"/>
        <v>3398158.6</v>
      </c>
      <c r="K15" s="9">
        <f t="shared" si="4"/>
        <v>3432954.31</v>
      </c>
      <c r="L15" s="9">
        <f t="shared" si="4"/>
        <v>3509349.95</v>
      </c>
      <c r="M15" s="9">
        <f t="shared" si="4"/>
        <v>3574769.34</v>
      </c>
      <c r="N15" s="9">
        <f t="shared" si="4"/>
        <v>2946820.09</v>
      </c>
      <c r="O15" s="9">
        <f t="shared" si="4"/>
        <v>2971120.85</v>
      </c>
      <c r="P15" s="9">
        <f t="shared" si="4"/>
        <v>3191805.39</v>
      </c>
      <c r="Q15" s="9">
        <f t="shared" si="4"/>
        <v>3151309.25</v>
      </c>
      <c r="R15" s="9">
        <f t="shared" si="4"/>
        <v>3093585.18</v>
      </c>
      <c r="S15" s="9">
        <f t="shared" si="4"/>
        <v>3047467.63</v>
      </c>
      <c r="T15" s="9">
        <f t="shared" si="4"/>
        <v>3177985.08</v>
      </c>
      <c r="U15" s="9">
        <f t="shared" si="4"/>
        <v>3177897.17</v>
      </c>
      <c r="V15" s="9">
        <f t="shared" si="4"/>
        <v>3405712.5300000003</v>
      </c>
      <c r="W15" s="9">
        <f t="shared" si="4"/>
        <v>3640563.52</v>
      </c>
      <c r="X15" s="9">
        <f t="shared" si="4"/>
        <v>3948886.88</v>
      </c>
      <c r="Y15" s="9">
        <f t="shared" si="4"/>
        <v>2750483.38</v>
      </c>
      <c r="Z15" s="9">
        <f t="shared" si="4"/>
        <v>3345519.94</v>
      </c>
      <c r="AA15" s="9">
        <f t="shared" si="4"/>
        <v>3256618.83</v>
      </c>
      <c r="AB15" s="9">
        <f t="shared" si="4"/>
        <v>3329494.4</v>
      </c>
      <c r="AC15" s="9">
        <f t="shared" si="4"/>
        <v>3376505.5999999996</v>
      </c>
      <c r="AD15" s="9">
        <f t="shared" si="4"/>
        <v>3367155.5199999996</v>
      </c>
      <c r="AE15" s="9">
        <f t="shared" si="4"/>
        <v>3436463.15</v>
      </c>
      <c r="AF15" s="9">
        <f t="shared" si="4"/>
        <v>3206919.1700000004</v>
      </c>
      <c r="AG15" s="9">
        <f t="shared" si="4"/>
        <v>3208452.75</v>
      </c>
      <c r="AH15" s="9">
        <f t="shared" si="4"/>
        <v>3092645.1399999997</v>
      </c>
      <c r="AI15" s="9">
        <f t="shared" si="4"/>
        <v>3234916.46</v>
      </c>
      <c r="AJ15" s="9">
        <f t="shared" si="4"/>
        <v>3217796.4499999997</v>
      </c>
      <c r="AK15" s="9">
        <f t="shared" si="4"/>
        <v>3116637.27</v>
      </c>
      <c r="AL15" s="9">
        <f t="shared" si="4"/>
        <v>3200321.14</v>
      </c>
      <c r="AM15" s="9">
        <f t="shared" si="4"/>
        <v>3294849.69</v>
      </c>
      <c r="AN15" s="9">
        <f t="shared" si="4"/>
        <v>3477913.05</v>
      </c>
      <c r="AO15" s="9">
        <f t="shared" si="4"/>
        <v>3564192.7800000003</v>
      </c>
      <c r="AP15" s="9">
        <f t="shared" si="4"/>
        <v>3508209.67</v>
      </c>
      <c r="AQ15" s="9">
        <f t="shared" si="4"/>
        <v>3496654.22</v>
      </c>
      <c r="AR15" s="9">
        <f t="shared" si="4"/>
        <v>3422684.9899999998</v>
      </c>
      <c r="AS15" s="9">
        <f t="shared" si="4"/>
        <v>3536795.73</v>
      </c>
      <c r="AT15" s="9">
        <f t="shared" si="4"/>
        <v>3453584.46</v>
      </c>
      <c r="AU15" s="9">
        <f t="shared" si="4"/>
        <v>3311819.02</v>
      </c>
      <c r="AV15" s="9">
        <f t="shared" si="4"/>
        <v>3260800.7399999998</v>
      </c>
      <c r="AW15" s="9">
        <f t="shared" si="4"/>
        <v>2947812.53</v>
      </c>
      <c r="AX15" s="9">
        <f t="shared" si="4"/>
        <v>3105775.8200000003</v>
      </c>
      <c r="AY15" s="9">
        <f t="shared" si="4"/>
        <v>3111255.5100000002</v>
      </c>
      <c r="AZ15" s="9">
        <f t="shared" si="4"/>
        <v>3333638.6100000003</v>
      </c>
      <c r="BA15" s="9">
        <f t="shared" si="4"/>
        <v>3342332.42</v>
      </c>
      <c r="BB15" s="9">
        <f t="shared" si="4"/>
        <v>3532940.16</v>
      </c>
      <c r="BC15" s="9">
        <f t="shared" si="4"/>
        <v>3482338.86</v>
      </c>
      <c r="BD15" s="9">
        <f t="shared" si="4"/>
        <v>3718811.52</v>
      </c>
      <c r="BE15" s="9">
        <f t="shared" si="4"/>
        <v>3673645.06</v>
      </c>
      <c r="BF15" s="9">
        <f t="shared" si="4"/>
        <v>3333752.24</v>
      </c>
      <c r="BG15" s="9">
        <f t="shared" si="4"/>
        <v>3468625.25</v>
      </c>
      <c r="BH15" s="9">
        <f t="shared" si="4"/>
        <v>3417706.25</v>
      </c>
      <c r="BI15" s="9">
        <f t="shared" si="4"/>
        <v>3146518.96</v>
      </c>
      <c r="BJ15" s="9">
        <f t="shared" si="4"/>
        <v>3463195.4299999997</v>
      </c>
      <c r="BK15" s="9">
        <f t="shared" si="4"/>
        <v>3368754.4699999997</v>
      </c>
      <c r="BL15" s="9">
        <f t="shared" si="4"/>
        <v>3688547.5199999996</v>
      </c>
      <c r="BM15" s="9">
        <f t="shared" si="4"/>
        <v>3541663.7199999997</v>
      </c>
      <c r="BN15" s="9">
        <f t="shared" si="4"/>
        <v>3620860.48</v>
      </c>
      <c r="BO15" s="9">
        <f t="shared" ref="BO15:CS15" si="5">SUM(BO10:BO14)</f>
        <v>3770808.4700000007</v>
      </c>
      <c r="BP15" s="9">
        <f t="shared" si="5"/>
        <v>3971945.77</v>
      </c>
      <c r="BQ15" s="9">
        <f t="shared" si="5"/>
        <v>4090521.8500000006</v>
      </c>
      <c r="BR15" s="9">
        <f t="shared" si="5"/>
        <v>4044297.7899999996</v>
      </c>
      <c r="BS15" s="9">
        <f t="shared" si="5"/>
        <v>3923444.05</v>
      </c>
      <c r="BT15" s="9">
        <f t="shared" si="5"/>
        <v>3842231.76</v>
      </c>
      <c r="BU15" s="9">
        <f t="shared" si="5"/>
        <v>3878375.8299999996</v>
      </c>
      <c r="BV15" s="9">
        <f t="shared" si="5"/>
        <v>3687373.24</v>
      </c>
      <c r="BW15" s="9">
        <f t="shared" si="5"/>
        <v>3647822.27</v>
      </c>
      <c r="BX15" s="9">
        <f t="shared" si="5"/>
        <v>3972819.4099999997</v>
      </c>
      <c r="BY15" s="9">
        <f t="shared" si="5"/>
        <v>3921317.6800000006</v>
      </c>
      <c r="BZ15" s="9">
        <f t="shared" si="5"/>
        <v>3909245.15</v>
      </c>
      <c r="CA15" s="18"/>
      <c r="CB15" s="9"/>
      <c r="CC15" s="9"/>
      <c r="CD15" s="9"/>
      <c r="CE15" s="9"/>
      <c r="CF15" s="9"/>
      <c r="CG15" s="9"/>
      <c r="CH15" s="9">
        <f>SUM(CH10:CH14)</f>
        <v>4031036</v>
      </c>
      <c r="CI15" s="9">
        <f t="shared" si="5"/>
        <v>4031036</v>
      </c>
      <c r="CJ15" s="9">
        <f t="shared" si="5"/>
        <v>4031036</v>
      </c>
      <c r="CK15" s="9">
        <f t="shared" si="5"/>
        <v>4031036</v>
      </c>
      <c r="CL15" s="9">
        <f t="shared" si="5"/>
        <v>4031036</v>
      </c>
      <c r="CM15" s="9">
        <f t="shared" si="5"/>
        <v>4031036</v>
      </c>
      <c r="CN15" s="9">
        <f t="shared" si="5"/>
        <v>4031036</v>
      </c>
      <c r="CO15" s="9">
        <f t="shared" si="5"/>
        <v>4031036</v>
      </c>
      <c r="CP15" s="9">
        <f t="shared" si="5"/>
        <v>4031036</v>
      </c>
      <c r="CQ15" s="9">
        <f t="shared" si="5"/>
        <v>4031036</v>
      </c>
      <c r="CR15" s="9">
        <f t="shared" si="5"/>
        <v>4031036</v>
      </c>
      <c r="CS15" s="9">
        <f t="shared" si="5"/>
        <v>4031036</v>
      </c>
    </row>
    <row r="16" spans="1:99" x14ac:dyDescent="0.3">
      <c r="A16" s="4" t="s">
        <v>8</v>
      </c>
      <c r="B16" s="12">
        <v>383248.44000000041</v>
      </c>
      <c r="C16" s="12">
        <v>-24533.549999999814</v>
      </c>
      <c r="D16" s="12">
        <v>165119.58999999985</v>
      </c>
      <c r="E16" s="12">
        <v>275931.11999999965</v>
      </c>
      <c r="F16" s="12">
        <v>57944.299999999814</v>
      </c>
      <c r="G16" s="12">
        <v>-431753.75</v>
      </c>
      <c r="H16" s="12">
        <v>-369380.01999999955</v>
      </c>
      <c r="I16" s="12">
        <v>-415090.54999999981</v>
      </c>
      <c r="J16" s="12">
        <v>-164275.5400000005</v>
      </c>
      <c r="K16" s="12">
        <v>74292.470000000205</v>
      </c>
      <c r="L16" s="12">
        <v>-281737.43000000017</v>
      </c>
      <c r="M16" s="12">
        <v>-614399.5299999998</v>
      </c>
      <c r="N16" s="12">
        <v>337244.87000000011</v>
      </c>
      <c r="O16" s="12">
        <v>354191.5</v>
      </c>
      <c r="P16" s="12">
        <v>-52986.649999999907</v>
      </c>
      <c r="Q16" s="12">
        <v>-386223.08999999985</v>
      </c>
      <c r="R16" s="12">
        <v>-402391.2200000002</v>
      </c>
      <c r="S16" s="12">
        <v>-279911.36999999965</v>
      </c>
      <c r="T16" s="12">
        <v>-146440.43000000017</v>
      </c>
      <c r="U16" s="12">
        <v>64998.990000000224</v>
      </c>
      <c r="V16" s="12">
        <v>108089.68999999948</v>
      </c>
      <c r="W16" s="12">
        <v>-3917.6599999996834</v>
      </c>
      <c r="X16" s="12">
        <v>-156906.69999999972</v>
      </c>
      <c r="Y16" s="12">
        <v>26667.979999999981</v>
      </c>
      <c r="Z16" s="12">
        <v>75478.479999999981</v>
      </c>
      <c r="AA16" s="12">
        <v>-81774.290000000037</v>
      </c>
      <c r="AB16" s="12">
        <v>-108255.89999999991</v>
      </c>
      <c r="AC16" s="12">
        <v>-8717.109999999404</v>
      </c>
      <c r="AD16" s="12">
        <v>-78430.849999999627</v>
      </c>
      <c r="AE16" s="12">
        <v>-36250.60999999987</v>
      </c>
      <c r="AF16" s="12">
        <v>25820.079999999609</v>
      </c>
      <c r="AG16" s="12">
        <v>176672.24000000022</v>
      </c>
      <c r="AH16" s="12">
        <v>95517.410000000615</v>
      </c>
      <c r="AI16" s="12">
        <v>28165.320000000298</v>
      </c>
      <c r="AJ16" s="12">
        <v>38437.770000000484</v>
      </c>
      <c r="AK16" s="12">
        <v>-59921.149999999907</v>
      </c>
      <c r="AL16" s="12">
        <v>30401.619999999646</v>
      </c>
      <c r="AM16" s="12">
        <v>-13472.299999999814</v>
      </c>
      <c r="AN16" s="12">
        <v>-10089.39000000013</v>
      </c>
      <c r="AO16" s="12">
        <v>-87500.790000000037</v>
      </c>
      <c r="AP16" s="12">
        <v>-184076.75</v>
      </c>
      <c r="AQ16" s="12">
        <v>-65385.330000000075</v>
      </c>
      <c r="AR16" s="12">
        <v>-21185.519999999553</v>
      </c>
      <c r="AS16" s="12">
        <v>125623.19999999972</v>
      </c>
      <c r="AT16" s="12">
        <v>-6853.070000000298</v>
      </c>
      <c r="AU16" s="12">
        <v>-41572.950000000186</v>
      </c>
      <c r="AV16" s="12">
        <v>239998.22999999998</v>
      </c>
      <c r="AW16" s="12">
        <v>-52928.629999999423</v>
      </c>
      <c r="AX16" s="12">
        <v>462506.48999999976</v>
      </c>
      <c r="AY16" s="12">
        <v>191045.6799999997</v>
      </c>
      <c r="AZ16" s="12">
        <v>-59755.83000000054</v>
      </c>
      <c r="BA16" s="12">
        <v>-4138.4300000001676</v>
      </c>
      <c r="BB16" s="12">
        <v>-166235.12000000011</v>
      </c>
      <c r="BC16" s="12">
        <v>-147239.11999999965</v>
      </c>
      <c r="BD16" s="12">
        <v>-172159.9700000002</v>
      </c>
      <c r="BE16" s="12">
        <v>-323671.81000000006</v>
      </c>
      <c r="BF16" s="12">
        <v>39309.869999999646</v>
      </c>
      <c r="BG16" s="12">
        <v>-116233.88000000035</v>
      </c>
      <c r="BH16" s="12">
        <v>93010.870000000112</v>
      </c>
      <c r="BI16" s="12">
        <v>-302679.08999999985</v>
      </c>
      <c r="BJ16" s="12">
        <v>406201.47000000067</v>
      </c>
      <c r="BK16" s="12">
        <v>152439.04999999981</v>
      </c>
      <c r="BL16" s="12">
        <v>97420.900000000373</v>
      </c>
      <c r="BM16" s="12">
        <v>-272502.59999999963</v>
      </c>
      <c r="BN16" s="12">
        <v>207255.38000000035</v>
      </c>
      <c r="BO16" s="12">
        <v>-112264.80000000075</v>
      </c>
      <c r="BP16" s="12">
        <v>16956.149999999907</v>
      </c>
      <c r="BQ16" s="12">
        <v>-413692.73000000045</v>
      </c>
      <c r="BR16" s="12">
        <v>-210150.34999999963</v>
      </c>
      <c r="BS16" s="12">
        <v>16377.009999999776</v>
      </c>
      <c r="BT16" s="12">
        <v>35681.610000000335</v>
      </c>
      <c r="BU16" s="12">
        <v>-619871.17999999924</v>
      </c>
      <c r="BV16" s="12">
        <v>458561.7099999995</v>
      </c>
      <c r="BW16" s="12">
        <v>500671.76000000024</v>
      </c>
      <c r="BX16" s="12">
        <v>130049.8900000006</v>
      </c>
      <c r="BY16" s="12">
        <v>278945.8599999994</v>
      </c>
      <c r="BZ16" s="12">
        <v>202929.95999999996</v>
      </c>
      <c r="CA16" s="19"/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185731</v>
      </c>
      <c r="CI16" s="12">
        <v>185731</v>
      </c>
      <c r="CJ16" s="12">
        <v>185731</v>
      </c>
      <c r="CK16" s="12">
        <v>185731</v>
      </c>
      <c r="CL16" s="12">
        <v>185731</v>
      </c>
      <c r="CM16" s="12">
        <v>185731</v>
      </c>
      <c r="CN16" s="12">
        <v>185731</v>
      </c>
      <c r="CO16" s="12">
        <v>185731</v>
      </c>
      <c r="CP16" s="12">
        <v>185731</v>
      </c>
      <c r="CQ16" s="12">
        <v>185731</v>
      </c>
      <c r="CR16" s="12">
        <v>185731</v>
      </c>
      <c r="CS16" s="12">
        <v>185731</v>
      </c>
    </row>
    <row r="17" spans="1:97" x14ac:dyDescent="0.3">
      <c r="A17" s="4" t="s">
        <v>24</v>
      </c>
      <c r="B17" s="9">
        <f>SUM(B15:B16)</f>
        <v>3208679.04</v>
      </c>
      <c r="C17" s="9">
        <f t="shared" ref="C17:BN17" si="6">SUM(C15:C16)</f>
        <v>2791066.35</v>
      </c>
      <c r="D17" s="9">
        <f t="shared" si="6"/>
        <v>3132170.3899999997</v>
      </c>
      <c r="E17" s="9">
        <f t="shared" si="6"/>
        <v>3477841.3499999996</v>
      </c>
      <c r="F17" s="9">
        <f t="shared" si="6"/>
        <v>3495985.29</v>
      </c>
      <c r="G17" s="9">
        <f t="shared" si="6"/>
        <v>2898628.91</v>
      </c>
      <c r="H17" s="9">
        <f t="shared" si="6"/>
        <v>3144814.45</v>
      </c>
      <c r="I17" s="9">
        <f t="shared" si="6"/>
        <v>3003075.33</v>
      </c>
      <c r="J17" s="9">
        <f t="shared" si="6"/>
        <v>3233883.0599999996</v>
      </c>
      <c r="K17" s="9">
        <f t="shared" si="6"/>
        <v>3507246.7800000003</v>
      </c>
      <c r="L17" s="9">
        <f t="shared" si="6"/>
        <v>3227612.52</v>
      </c>
      <c r="M17" s="9">
        <f t="shared" si="6"/>
        <v>2960369.81</v>
      </c>
      <c r="N17" s="9">
        <f t="shared" si="6"/>
        <v>3284064.96</v>
      </c>
      <c r="O17" s="9">
        <f t="shared" si="6"/>
        <v>3325312.35</v>
      </c>
      <c r="P17" s="9">
        <f t="shared" si="6"/>
        <v>3138818.74</v>
      </c>
      <c r="Q17" s="9">
        <f t="shared" si="6"/>
        <v>2765086.16</v>
      </c>
      <c r="R17" s="9">
        <f t="shared" si="6"/>
        <v>2691193.96</v>
      </c>
      <c r="S17" s="9">
        <f t="shared" si="6"/>
        <v>2767556.2600000002</v>
      </c>
      <c r="T17" s="9">
        <f t="shared" si="6"/>
        <v>3031544.65</v>
      </c>
      <c r="U17" s="9">
        <f t="shared" si="6"/>
        <v>3242896.16</v>
      </c>
      <c r="V17" s="9">
        <f t="shared" si="6"/>
        <v>3513802.2199999997</v>
      </c>
      <c r="W17" s="9">
        <f t="shared" si="6"/>
        <v>3636645.8600000003</v>
      </c>
      <c r="X17" s="9">
        <f t="shared" si="6"/>
        <v>3791980.18</v>
      </c>
      <c r="Y17" s="9">
        <f t="shared" si="6"/>
        <v>2777151.36</v>
      </c>
      <c r="Z17" s="9">
        <f t="shared" si="6"/>
        <v>3420998.42</v>
      </c>
      <c r="AA17" s="9">
        <f t="shared" si="6"/>
        <v>3174844.54</v>
      </c>
      <c r="AB17" s="9">
        <f t="shared" si="6"/>
        <v>3221238.5</v>
      </c>
      <c r="AC17" s="9">
        <f t="shared" si="6"/>
        <v>3367788.49</v>
      </c>
      <c r="AD17" s="9">
        <f t="shared" si="6"/>
        <v>3288724.67</v>
      </c>
      <c r="AE17" s="9">
        <f t="shared" si="6"/>
        <v>3400212.54</v>
      </c>
      <c r="AF17" s="9">
        <f t="shared" si="6"/>
        <v>3232739.25</v>
      </c>
      <c r="AG17" s="9">
        <f t="shared" si="6"/>
        <v>3385124.99</v>
      </c>
      <c r="AH17" s="9">
        <f t="shared" si="6"/>
        <v>3188162.5500000003</v>
      </c>
      <c r="AI17" s="9">
        <f t="shared" si="6"/>
        <v>3263081.7800000003</v>
      </c>
      <c r="AJ17" s="9">
        <f t="shared" si="6"/>
        <v>3256234.22</v>
      </c>
      <c r="AK17" s="9">
        <f t="shared" si="6"/>
        <v>3056716.12</v>
      </c>
      <c r="AL17" s="9">
        <f t="shared" si="6"/>
        <v>3230722.76</v>
      </c>
      <c r="AM17" s="9">
        <f t="shared" si="6"/>
        <v>3281377.39</v>
      </c>
      <c r="AN17" s="9">
        <f t="shared" si="6"/>
        <v>3467823.6599999997</v>
      </c>
      <c r="AO17" s="9">
        <f t="shared" si="6"/>
        <v>3476691.99</v>
      </c>
      <c r="AP17" s="9">
        <f t="shared" si="6"/>
        <v>3324132.92</v>
      </c>
      <c r="AQ17" s="9">
        <f t="shared" si="6"/>
        <v>3431268.89</v>
      </c>
      <c r="AR17" s="9">
        <f t="shared" si="6"/>
        <v>3401499.47</v>
      </c>
      <c r="AS17" s="9">
        <f t="shared" si="6"/>
        <v>3662418.9299999997</v>
      </c>
      <c r="AT17" s="9">
        <f t="shared" si="6"/>
        <v>3446731.3899999997</v>
      </c>
      <c r="AU17" s="9">
        <f t="shared" si="6"/>
        <v>3270246.07</v>
      </c>
      <c r="AV17" s="9">
        <f t="shared" si="6"/>
        <v>3500798.9699999997</v>
      </c>
      <c r="AW17" s="9">
        <f t="shared" si="6"/>
        <v>2894883.9000000004</v>
      </c>
      <c r="AX17" s="9">
        <f t="shared" si="6"/>
        <v>3568282.31</v>
      </c>
      <c r="AY17" s="9">
        <f t="shared" si="6"/>
        <v>3302301.19</v>
      </c>
      <c r="AZ17" s="9">
        <f t="shared" si="6"/>
        <v>3273882.78</v>
      </c>
      <c r="BA17" s="9">
        <f t="shared" si="6"/>
        <v>3338193.9899999998</v>
      </c>
      <c r="BB17" s="9">
        <f t="shared" si="6"/>
        <v>3366705.04</v>
      </c>
      <c r="BC17" s="9">
        <f t="shared" si="6"/>
        <v>3335099.74</v>
      </c>
      <c r="BD17" s="9">
        <f t="shared" si="6"/>
        <v>3546651.55</v>
      </c>
      <c r="BE17" s="9">
        <f t="shared" si="6"/>
        <v>3349973.25</v>
      </c>
      <c r="BF17" s="9">
        <f t="shared" si="6"/>
        <v>3373062.11</v>
      </c>
      <c r="BG17" s="9">
        <f t="shared" si="6"/>
        <v>3352391.3699999996</v>
      </c>
      <c r="BH17" s="9">
        <f t="shared" si="6"/>
        <v>3510717.12</v>
      </c>
      <c r="BI17" s="9">
        <f t="shared" si="6"/>
        <v>2843839.87</v>
      </c>
      <c r="BJ17" s="9">
        <f t="shared" si="6"/>
        <v>3869396.9000000004</v>
      </c>
      <c r="BK17" s="9">
        <f t="shared" si="6"/>
        <v>3521193.5199999996</v>
      </c>
      <c r="BL17" s="9">
        <f t="shared" si="6"/>
        <v>3785968.42</v>
      </c>
      <c r="BM17" s="9">
        <f t="shared" si="6"/>
        <v>3269161.12</v>
      </c>
      <c r="BN17" s="9">
        <f t="shared" si="6"/>
        <v>3828115.8600000003</v>
      </c>
      <c r="BO17" s="9">
        <f t="shared" ref="BO17:CS17" si="7">SUM(BO15:BO16)</f>
        <v>3658543.67</v>
      </c>
      <c r="BP17" s="9">
        <f t="shared" si="7"/>
        <v>3988901.92</v>
      </c>
      <c r="BQ17" s="9">
        <f t="shared" si="7"/>
        <v>3676829.12</v>
      </c>
      <c r="BR17" s="9">
        <f t="shared" si="7"/>
        <v>3834147.44</v>
      </c>
      <c r="BS17" s="9">
        <f t="shared" si="7"/>
        <v>3939821.0599999996</v>
      </c>
      <c r="BT17" s="9">
        <f t="shared" si="7"/>
        <v>3877913.37</v>
      </c>
      <c r="BU17" s="9">
        <f t="shared" si="7"/>
        <v>3258504.6500000004</v>
      </c>
      <c r="BV17" s="9">
        <f t="shared" si="7"/>
        <v>4145934.9499999997</v>
      </c>
      <c r="BW17" s="9">
        <f t="shared" si="7"/>
        <v>4148494.0300000003</v>
      </c>
      <c r="BX17" s="9">
        <f t="shared" si="7"/>
        <v>4102869.3000000003</v>
      </c>
      <c r="BY17" s="9">
        <f t="shared" si="7"/>
        <v>4200263.54</v>
      </c>
      <c r="BZ17" s="9">
        <f t="shared" si="7"/>
        <v>4112175.11</v>
      </c>
      <c r="CA17" s="18"/>
      <c r="CB17" s="9"/>
      <c r="CC17" s="9"/>
      <c r="CD17" s="9"/>
      <c r="CE17" s="9"/>
      <c r="CF17" s="9"/>
      <c r="CG17" s="9"/>
      <c r="CH17" s="9">
        <f t="shared" si="7"/>
        <v>4216767</v>
      </c>
      <c r="CI17" s="9">
        <f t="shared" si="7"/>
        <v>4216767</v>
      </c>
      <c r="CJ17" s="9">
        <f t="shared" si="7"/>
        <v>4216767</v>
      </c>
      <c r="CK17" s="9">
        <f t="shared" si="7"/>
        <v>4216767</v>
      </c>
      <c r="CL17" s="9">
        <f t="shared" si="7"/>
        <v>4216767</v>
      </c>
      <c r="CM17" s="9">
        <f t="shared" si="7"/>
        <v>4216767</v>
      </c>
      <c r="CN17" s="9">
        <f t="shared" si="7"/>
        <v>4216767</v>
      </c>
      <c r="CO17" s="9">
        <f t="shared" si="7"/>
        <v>4216767</v>
      </c>
      <c r="CP17" s="9">
        <f t="shared" si="7"/>
        <v>4216767</v>
      </c>
      <c r="CQ17" s="9">
        <f t="shared" si="7"/>
        <v>4216767</v>
      </c>
      <c r="CR17" s="9">
        <f t="shared" si="7"/>
        <v>4216767</v>
      </c>
      <c r="CS17" s="9">
        <f t="shared" si="7"/>
        <v>4216767</v>
      </c>
    </row>
    <row r="18" spans="1:97" ht="27.6" x14ac:dyDescent="0.3">
      <c r="A18" s="5" t="s">
        <v>25</v>
      </c>
      <c r="CA18" s="18"/>
    </row>
    <row r="19" spans="1:97" x14ac:dyDescent="0.3">
      <c r="A19" s="4" t="s">
        <v>9</v>
      </c>
      <c r="B19" s="8">
        <f>B17/B5</f>
        <v>0.2950437539219159</v>
      </c>
      <c r="C19" s="8">
        <f t="shared" ref="C19:BN19" si="8">C17/C5</f>
        <v>0.29306330543387293</v>
      </c>
      <c r="D19" s="8">
        <f t="shared" si="8"/>
        <v>0.29239198669566357</v>
      </c>
      <c r="E19" s="8">
        <f t="shared" si="8"/>
        <v>0.30084616428309208</v>
      </c>
      <c r="F19" s="8">
        <f t="shared" si="8"/>
        <v>0.30740947470183438</v>
      </c>
      <c r="G19" s="8">
        <f t="shared" si="8"/>
        <v>0.30870548144940635</v>
      </c>
      <c r="H19" s="8">
        <f t="shared" si="8"/>
        <v>0.3223911916684985</v>
      </c>
      <c r="I19" s="8">
        <f t="shared" si="8"/>
        <v>0.33258176612482004</v>
      </c>
      <c r="J19" s="8">
        <f t="shared" si="8"/>
        <v>0.33739274677642905</v>
      </c>
      <c r="K19" s="8">
        <f t="shared" si="8"/>
        <v>0.34829330270853315</v>
      </c>
      <c r="L19" s="8">
        <f t="shared" si="8"/>
        <v>0.34502463635353076</v>
      </c>
      <c r="M19" s="8">
        <f t="shared" si="8"/>
        <v>0.35997128162532688</v>
      </c>
      <c r="N19" s="8">
        <f t="shared" si="8"/>
        <v>0.37423550932562144</v>
      </c>
      <c r="O19" s="8">
        <f t="shared" si="8"/>
        <v>0.34239617838477898</v>
      </c>
      <c r="P19" s="8">
        <f t="shared" si="8"/>
        <v>0.31364216388063154</v>
      </c>
      <c r="Q19" s="8">
        <f t="shared" si="8"/>
        <v>0.31943981120325282</v>
      </c>
      <c r="R19" s="8">
        <f t="shared" si="8"/>
        <v>0.35162897682802829</v>
      </c>
      <c r="S19" s="8">
        <f t="shared" si="8"/>
        <v>0.33298274061673289</v>
      </c>
      <c r="T19" s="8">
        <f t="shared" si="8"/>
        <v>0.36537003521697053</v>
      </c>
      <c r="U19" s="8">
        <f t="shared" si="8"/>
        <v>0.37181383875319002</v>
      </c>
      <c r="V19" s="8">
        <f t="shared" si="8"/>
        <v>0.38394432517528354</v>
      </c>
      <c r="W19" s="8">
        <f t="shared" si="8"/>
        <v>0.36330421365135285</v>
      </c>
      <c r="X19" s="8">
        <f t="shared" si="8"/>
        <v>0.38013304074364318</v>
      </c>
      <c r="Y19" s="8">
        <f t="shared" si="8"/>
        <v>0.33088828518286711</v>
      </c>
      <c r="Z19" s="8">
        <f t="shared" si="8"/>
        <v>0.34316381592064088</v>
      </c>
      <c r="AA19" s="8">
        <f t="shared" si="8"/>
        <v>0.32455190902852976</v>
      </c>
      <c r="AB19" s="8">
        <f t="shared" si="8"/>
        <v>0.30048772281605668</v>
      </c>
      <c r="AC19" s="8">
        <f t="shared" si="8"/>
        <v>0.33145322562311352</v>
      </c>
      <c r="AD19" s="8">
        <f t="shared" si="8"/>
        <v>0.33388322178816848</v>
      </c>
      <c r="AE19" s="8">
        <f t="shared" si="8"/>
        <v>0.32498754902376847</v>
      </c>
      <c r="AF19" s="8">
        <f t="shared" si="8"/>
        <v>0.30029081214793613</v>
      </c>
      <c r="AG19" s="8">
        <f t="shared" si="8"/>
        <v>0.30665004980080163</v>
      </c>
      <c r="AH19" s="8">
        <f t="shared" si="8"/>
        <v>0.31967054896847436</v>
      </c>
      <c r="AI19" s="8">
        <f t="shared" si="8"/>
        <v>0.30723536334386942</v>
      </c>
      <c r="AJ19" s="8">
        <f t="shared" si="8"/>
        <v>0.30583096954237887</v>
      </c>
      <c r="AK19" s="8">
        <f t="shared" si="8"/>
        <v>0.32060815573613166</v>
      </c>
      <c r="AL19" s="8">
        <f t="shared" si="8"/>
        <v>0.30234935010939046</v>
      </c>
      <c r="AM19" s="8">
        <f t="shared" si="8"/>
        <v>0.30554669694644687</v>
      </c>
      <c r="AN19" s="8">
        <f t="shared" si="8"/>
        <v>0.281120419635359</v>
      </c>
      <c r="AO19" s="8">
        <f t="shared" si="8"/>
        <v>0.27342557738076095</v>
      </c>
      <c r="AP19" s="8">
        <f t="shared" si="8"/>
        <v>0.28983557001255622</v>
      </c>
      <c r="AQ19" s="8">
        <f t="shared" si="8"/>
        <v>0.30539347314837834</v>
      </c>
      <c r="AR19" s="8">
        <f t="shared" si="8"/>
        <v>0.31873737419359388</v>
      </c>
      <c r="AS19" s="8">
        <f t="shared" si="8"/>
        <v>0.31812902812545485</v>
      </c>
      <c r="AT19" s="8">
        <f t="shared" si="8"/>
        <v>0.33148922193004843</v>
      </c>
      <c r="AU19" s="8">
        <f t="shared" si="8"/>
        <v>0.32624888860629853</v>
      </c>
      <c r="AV19" s="8">
        <f t="shared" si="8"/>
        <v>0.31559476147303406</v>
      </c>
      <c r="AW19" s="8">
        <f t="shared" si="8"/>
        <v>0.37705348191420146</v>
      </c>
      <c r="AX19" s="8">
        <f t="shared" si="8"/>
        <v>0.31824536468061887</v>
      </c>
      <c r="AY19" s="8">
        <f t="shared" si="8"/>
        <v>0.3306900367506922</v>
      </c>
      <c r="AZ19" s="8">
        <f t="shared" si="8"/>
        <v>0.31984946450358626</v>
      </c>
      <c r="BA19" s="8">
        <f t="shared" si="8"/>
        <v>0.3286632795141633</v>
      </c>
      <c r="BB19" s="8">
        <f t="shared" si="8"/>
        <v>0.36205415404938451</v>
      </c>
      <c r="BC19" s="8">
        <f t="shared" si="8"/>
        <v>0.35387752781761583</v>
      </c>
      <c r="BD19" s="8">
        <f t="shared" si="8"/>
        <v>0.37893914394825107</v>
      </c>
      <c r="BE19" s="8">
        <f t="shared" si="8"/>
        <v>0.37339218978994865</v>
      </c>
      <c r="BF19" s="8">
        <f t="shared" si="8"/>
        <v>0.36998036829054348</v>
      </c>
      <c r="BG19" s="8">
        <f t="shared" si="8"/>
        <v>0.36716585722782408</v>
      </c>
      <c r="BH19" s="8">
        <f t="shared" si="8"/>
        <v>0.36752360710797216</v>
      </c>
      <c r="BI19" s="8">
        <f t="shared" si="8"/>
        <v>0.37717112184048895</v>
      </c>
      <c r="BJ19" s="8">
        <f t="shared" si="8"/>
        <v>0.37096465470500506</v>
      </c>
      <c r="BK19" s="8">
        <f t="shared" si="8"/>
        <v>0.35148417475475957</v>
      </c>
      <c r="BL19" s="8">
        <f t="shared" si="8"/>
        <v>0.36617096328111504</v>
      </c>
      <c r="BM19" s="8">
        <f t="shared" si="8"/>
        <v>0.4029469334344481</v>
      </c>
      <c r="BN19" s="8">
        <f t="shared" si="8"/>
        <v>0.35832297310038808</v>
      </c>
      <c r="BO19" s="8">
        <f t="shared" ref="BO19:CS19" si="9">BO17/BO5</f>
        <v>0.39245013032884235</v>
      </c>
      <c r="BP19" s="8">
        <f t="shared" si="9"/>
        <v>0.3857912906816135</v>
      </c>
      <c r="BQ19" s="8">
        <f t="shared" si="9"/>
        <v>0.36388588937664423</v>
      </c>
      <c r="BR19" s="8">
        <f t="shared" si="9"/>
        <v>0.36988010346022682</v>
      </c>
      <c r="BS19" s="8">
        <f t="shared" si="9"/>
        <v>0.36033636490921356</v>
      </c>
      <c r="BT19" s="8">
        <f t="shared" si="9"/>
        <v>0.35919128149222485</v>
      </c>
      <c r="BU19" s="8">
        <f t="shared" si="9"/>
        <v>0.3614207395389159</v>
      </c>
      <c r="BV19" s="8">
        <f t="shared" si="9"/>
        <v>0.36426604250625111</v>
      </c>
      <c r="BW19" s="8">
        <f t="shared" si="9"/>
        <v>0.37032654954731015</v>
      </c>
      <c r="BX19" s="8">
        <f t="shared" si="9"/>
        <v>0.37652820763695777</v>
      </c>
      <c r="BY19" s="8">
        <f t="shared" si="9"/>
        <v>0.3897650710566461</v>
      </c>
      <c r="BZ19" s="8">
        <f t="shared" ref="BZ19" si="10">BZ17/BZ5</f>
        <v>0.37655566864320306</v>
      </c>
      <c r="CA19" s="20"/>
      <c r="CB19" s="8"/>
      <c r="CC19" s="8"/>
      <c r="CD19" s="8"/>
      <c r="CE19" s="8"/>
      <c r="CF19" s="8"/>
      <c r="CG19" s="8"/>
      <c r="CH19" s="8">
        <f t="shared" si="9"/>
        <v>0.3357002156417877</v>
      </c>
      <c r="CI19" s="8">
        <f t="shared" si="9"/>
        <v>0.3357002156417877</v>
      </c>
      <c r="CJ19" s="8">
        <f t="shared" si="9"/>
        <v>0.3357002156417877</v>
      </c>
      <c r="CK19" s="8">
        <f t="shared" si="9"/>
        <v>0.3357002156417877</v>
      </c>
      <c r="CL19" s="8">
        <f t="shared" si="9"/>
        <v>0.3357002156417877</v>
      </c>
      <c r="CM19" s="8">
        <f t="shared" si="9"/>
        <v>0.3357002156417877</v>
      </c>
      <c r="CN19" s="8">
        <f t="shared" si="9"/>
        <v>0.3357002156417877</v>
      </c>
      <c r="CO19" s="8">
        <f t="shared" si="9"/>
        <v>0.3357002156417877</v>
      </c>
      <c r="CP19" s="8">
        <f t="shared" si="9"/>
        <v>0.3357002156417877</v>
      </c>
      <c r="CQ19" s="8">
        <f t="shared" si="9"/>
        <v>0.3357002156417877</v>
      </c>
      <c r="CR19" s="8">
        <f t="shared" si="9"/>
        <v>0.3357002156417877</v>
      </c>
      <c r="CS19" s="8">
        <f t="shared" si="9"/>
        <v>0.3357002156417877</v>
      </c>
    </row>
    <row r="20" spans="1:97" x14ac:dyDescent="0.3">
      <c r="A20" s="6" t="s">
        <v>10</v>
      </c>
      <c r="B20" s="10">
        <f>B4-B5</f>
        <v>1403695.8799999971</v>
      </c>
      <c r="C20" s="10">
        <f t="shared" ref="C20:BN20" si="11">C4-C5</f>
        <v>1474953.8499999996</v>
      </c>
      <c r="D20" s="10">
        <f t="shared" si="11"/>
        <v>2544536.4900000002</v>
      </c>
      <c r="E20" s="10">
        <f t="shared" si="11"/>
        <v>2433823.6300000027</v>
      </c>
      <c r="F20" s="10">
        <f t="shared" si="11"/>
        <v>2206884.1100000013</v>
      </c>
      <c r="G20" s="10">
        <f t="shared" si="11"/>
        <v>1933599.9600000028</v>
      </c>
      <c r="H20" s="10">
        <f t="shared" si="11"/>
        <v>1803725.3099999968</v>
      </c>
      <c r="I20" s="10">
        <f t="shared" si="11"/>
        <v>1527861.6700000037</v>
      </c>
      <c r="J20" s="10">
        <f t="shared" si="11"/>
        <v>2004618.4600000028</v>
      </c>
      <c r="K20" s="10">
        <f t="shared" si="11"/>
        <v>1903820.2400000002</v>
      </c>
      <c r="L20" s="10">
        <f t="shared" si="11"/>
        <v>1878301.7699999996</v>
      </c>
      <c r="M20" s="10">
        <f t="shared" si="11"/>
        <v>1757899.1900000032</v>
      </c>
      <c r="N20" s="10">
        <f t="shared" si="11"/>
        <v>1322392.8399999999</v>
      </c>
      <c r="O20" s="10">
        <f t="shared" si="11"/>
        <v>2147043.4400000013</v>
      </c>
      <c r="P20" s="10">
        <f t="shared" si="11"/>
        <v>3173236.3900000006</v>
      </c>
      <c r="Q20" s="10">
        <f t="shared" si="11"/>
        <v>2077176.2199999988</v>
      </c>
      <c r="R20" s="10">
        <f t="shared" si="11"/>
        <v>1510023.8599999994</v>
      </c>
      <c r="S20" s="10">
        <f t="shared" si="11"/>
        <v>2035423.209999999</v>
      </c>
      <c r="T20" s="10">
        <f t="shared" si="11"/>
        <v>1786375.5900000017</v>
      </c>
      <c r="U20" s="10">
        <f t="shared" si="11"/>
        <v>1801290.4900000002</v>
      </c>
      <c r="V20" s="10">
        <f t="shared" si="11"/>
        <v>1718164.8300000038</v>
      </c>
      <c r="W20" s="10">
        <f t="shared" si="11"/>
        <v>1785777.4099999983</v>
      </c>
      <c r="X20" s="10">
        <f t="shared" si="11"/>
        <v>1892879.9799999986</v>
      </c>
      <c r="Y20" s="10">
        <f t="shared" si="11"/>
        <v>2383001.5200000014</v>
      </c>
      <c r="Z20" s="10">
        <f t="shared" si="11"/>
        <v>2614342.67</v>
      </c>
      <c r="AA20" s="10">
        <f t="shared" si="11"/>
        <v>2534286.2599999998</v>
      </c>
      <c r="AB20" s="10">
        <f t="shared" si="11"/>
        <v>2767944.7300000023</v>
      </c>
      <c r="AC20" s="10">
        <f t="shared" si="11"/>
        <v>2116345.7700000014</v>
      </c>
      <c r="AD20" s="10">
        <f t="shared" si="11"/>
        <v>2103123.17</v>
      </c>
      <c r="AE20" s="10">
        <f t="shared" si="11"/>
        <v>1470868.3000000007</v>
      </c>
      <c r="AF20" s="10">
        <f t="shared" si="11"/>
        <v>1330198.870000001</v>
      </c>
      <c r="AG20" s="10">
        <f t="shared" si="11"/>
        <v>2173685.59</v>
      </c>
      <c r="AH20" s="10">
        <f t="shared" si="11"/>
        <v>2197865.5199999958</v>
      </c>
      <c r="AI20" s="10">
        <f t="shared" si="11"/>
        <v>2149318.5099999998</v>
      </c>
      <c r="AJ20" s="10">
        <f t="shared" si="11"/>
        <v>1473669.8500000015</v>
      </c>
      <c r="AK20" s="10">
        <f t="shared" si="11"/>
        <v>1239295.3799999971</v>
      </c>
      <c r="AL20" s="10">
        <f t="shared" si="11"/>
        <v>1731245.9699999988</v>
      </c>
      <c r="AM20" s="10">
        <f t="shared" si="11"/>
        <v>1400717.7800000012</v>
      </c>
      <c r="AN20" s="10">
        <f t="shared" si="11"/>
        <v>1823874.5099999998</v>
      </c>
      <c r="AO20" s="10">
        <f t="shared" si="11"/>
        <v>2296987.9999999963</v>
      </c>
      <c r="AP20" s="10">
        <f t="shared" si="11"/>
        <v>1662681.9800000023</v>
      </c>
      <c r="AQ20" s="10">
        <f t="shared" si="11"/>
        <v>1807537.9500000011</v>
      </c>
      <c r="AR20" s="10">
        <f t="shared" si="11"/>
        <v>891926.48999999836</v>
      </c>
      <c r="AS20" s="10">
        <f t="shared" si="11"/>
        <v>1210975.1900000013</v>
      </c>
      <c r="AT20" s="10">
        <f t="shared" si="11"/>
        <v>1041257.450000003</v>
      </c>
      <c r="AU20" s="10">
        <f t="shared" si="11"/>
        <v>1046374.3100000005</v>
      </c>
      <c r="AV20" s="10">
        <f t="shared" si="11"/>
        <v>1008567.7100000028</v>
      </c>
      <c r="AW20" s="10">
        <f t="shared" si="11"/>
        <v>-263174.03000000026</v>
      </c>
      <c r="AX20" s="10">
        <f t="shared" si="11"/>
        <v>1405750.1500000041</v>
      </c>
      <c r="AY20" s="10">
        <f t="shared" si="11"/>
        <v>2279894.2900000028</v>
      </c>
      <c r="AZ20" s="10">
        <f t="shared" si="11"/>
        <v>2326705.9399999976</v>
      </c>
      <c r="BA20" s="10">
        <f t="shared" si="11"/>
        <v>2190157.2899999991</v>
      </c>
      <c r="BB20" s="10">
        <f t="shared" si="11"/>
        <v>2508753.3599999975</v>
      </c>
      <c r="BC20" s="10">
        <f t="shared" si="11"/>
        <v>2012170.5899999999</v>
      </c>
      <c r="BD20" s="10">
        <f t="shared" si="11"/>
        <v>2039271.9000000004</v>
      </c>
      <c r="BE20" s="10">
        <f t="shared" si="11"/>
        <v>1158873.799999997</v>
      </c>
      <c r="BF20" s="10">
        <f t="shared" si="11"/>
        <v>1320378.08</v>
      </c>
      <c r="BG20" s="10">
        <f t="shared" si="11"/>
        <v>1314698.3100000005</v>
      </c>
      <c r="BH20" s="10">
        <f t="shared" si="11"/>
        <v>1152924.8699999992</v>
      </c>
      <c r="BI20" s="10">
        <f t="shared" si="11"/>
        <v>274767.02000000235</v>
      </c>
      <c r="BJ20" s="10">
        <f t="shared" si="11"/>
        <v>1662550.3699999992</v>
      </c>
      <c r="BK20" s="10">
        <f t="shared" si="11"/>
        <v>1570986.1500000022</v>
      </c>
      <c r="BL20" s="10">
        <f t="shared" si="11"/>
        <v>1670657.7100000009</v>
      </c>
      <c r="BM20" s="10">
        <f t="shared" si="11"/>
        <v>715114.33999999985</v>
      </c>
      <c r="BN20" s="10">
        <f t="shared" si="11"/>
        <v>1337969.5899999961</v>
      </c>
      <c r="BO20" s="10">
        <f t="shared" ref="BO20:CS20" si="12">BO4-BO5</f>
        <v>1152583.9600000009</v>
      </c>
      <c r="BP20" s="10">
        <f t="shared" si="12"/>
        <v>1110723.1099999994</v>
      </c>
      <c r="BQ20" s="10">
        <f t="shared" si="12"/>
        <v>1238072.1600000001</v>
      </c>
      <c r="BR20" s="10">
        <f t="shared" si="12"/>
        <v>1242813.3500000015</v>
      </c>
      <c r="BS20" s="10">
        <f t="shared" si="12"/>
        <v>1131470.0900000017</v>
      </c>
      <c r="BT20" s="10">
        <f t="shared" si="12"/>
        <v>943197.34999999776</v>
      </c>
      <c r="BU20" s="10">
        <f t="shared" si="12"/>
        <v>531032.57999999821</v>
      </c>
      <c r="BV20" s="10">
        <f t="shared" si="12"/>
        <v>1918814.2300000004</v>
      </c>
      <c r="BW20" s="10">
        <f t="shared" si="12"/>
        <v>1518446.5099999998</v>
      </c>
      <c r="BX20" s="10">
        <f>BX4-BX5</f>
        <v>1527660.7900000028</v>
      </c>
      <c r="BY20" s="10">
        <f>BY4-BY5</f>
        <v>1329244.6700000037</v>
      </c>
      <c r="BZ20" s="10">
        <f>BZ4-BZ5</f>
        <v>1561176.2000000011</v>
      </c>
      <c r="CA20" s="22"/>
      <c r="CB20" s="10"/>
      <c r="CC20" s="10"/>
      <c r="CD20" s="10"/>
      <c r="CE20" s="10"/>
      <c r="CF20" s="10"/>
      <c r="CG20" s="10"/>
      <c r="CH20" s="10">
        <f>CH4-CH5</f>
        <v>2256841</v>
      </c>
      <c r="CI20" s="10">
        <f t="shared" si="12"/>
        <v>2256841</v>
      </c>
      <c r="CJ20" s="10">
        <f t="shared" si="12"/>
        <v>2256841</v>
      </c>
      <c r="CK20" s="10">
        <f t="shared" si="12"/>
        <v>2256841</v>
      </c>
      <c r="CL20" s="10">
        <f t="shared" si="12"/>
        <v>2256841</v>
      </c>
      <c r="CM20" s="10">
        <f t="shared" si="12"/>
        <v>2256841</v>
      </c>
      <c r="CN20" s="10">
        <f t="shared" si="12"/>
        <v>2256841</v>
      </c>
      <c r="CO20" s="10">
        <f t="shared" si="12"/>
        <v>2256841</v>
      </c>
      <c r="CP20" s="10">
        <f t="shared" si="12"/>
        <v>2256841</v>
      </c>
      <c r="CQ20" s="10">
        <f t="shared" si="12"/>
        <v>2256841</v>
      </c>
      <c r="CR20" s="10">
        <f t="shared" si="12"/>
        <v>2256841</v>
      </c>
      <c r="CS20" s="10">
        <f t="shared" si="12"/>
        <v>2256841</v>
      </c>
    </row>
    <row r="21" spans="1:97" x14ac:dyDescent="0.3">
      <c r="A21" s="4" t="s">
        <v>26</v>
      </c>
      <c r="B21" s="11">
        <f t="shared" ref="B21:BM21" si="13">B20/(B4)</f>
        <v>0.11431715454478115</v>
      </c>
      <c r="C21" s="11">
        <f t="shared" si="13"/>
        <v>0.13410231985479232</v>
      </c>
      <c r="D21" s="11">
        <f t="shared" si="13"/>
        <v>0.19194246008893076</v>
      </c>
      <c r="E21" s="11">
        <f t="shared" si="13"/>
        <v>0.17391880783403441</v>
      </c>
      <c r="F21" s="11">
        <f t="shared" si="13"/>
        <v>0.16251837365958297</v>
      </c>
      <c r="G21" s="11">
        <f t="shared" si="13"/>
        <v>0.17076405830726549</v>
      </c>
      <c r="H21" s="11">
        <f t="shared" si="13"/>
        <v>0.15605348285224538</v>
      </c>
      <c r="I21" s="11">
        <f t="shared" si="13"/>
        <v>0.14471886208001228</v>
      </c>
      <c r="J21" s="11">
        <f t="shared" si="13"/>
        <v>0.17296790315449431</v>
      </c>
      <c r="K21" s="11">
        <f t="shared" si="13"/>
        <v>0.15900111135149961</v>
      </c>
      <c r="L21" s="11">
        <f t="shared" si="13"/>
        <v>0.16721235280052194</v>
      </c>
      <c r="M21" s="11">
        <f t="shared" si="13"/>
        <v>0.17611035690158305</v>
      </c>
      <c r="N21" s="11">
        <f t="shared" si="13"/>
        <v>0.13095864867269377</v>
      </c>
      <c r="O21" s="11">
        <f t="shared" si="13"/>
        <v>0.1810486865771288</v>
      </c>
      <c r="P21" s="11">
        <f t="shared" si="13"/>
        <v>0.24074542727126344</v>
      </c>
      <c r="Q21" s="11">
        <f t="shared" si="13"/>
        <v>0.19352771225117643</v>
      </c>
      <c r="R21" s="11">
        <f t="shared" si="13"/>
        <v>0.16478629181130583</v>
      </c>
      <c r="S21" s="11">
        <f t="shared" si="13"/>
        <v>0.19671942733205691</v>
      </c>
      <c r="T21" s="11">
        <f t="shared" si="13"/>
        <v>0.17715713266556679</v>
      </c>
      <c r="U21" s="11">
        <f t="shared" si="13"/>
        <v>0.17117459800636009</v>
      </c>
      <c r="V21" s="11">
        <f t="shared" si="13"/>
        <v>0.15806457507780095</v>
      </c>
      <c r="W21" s="11">
        <f t="shared" si="13"/>
        <v>0.15139227922722662</v>
      </c>
      <c r="X21" s="11">
        <f t="shared" si="13"/>
        <v>0.15949063761476456</v>
      </c>
      <c r="Y21" s="11">
        <f t="shared" si="13"/>
        <v>0.22113930824698955</v>
      </c>
      <c r="Z21" s="11">
        <f t="shared" si="13"/>
        <v>0.20776225714667948</v>
      </c>
      <c r="AA21" s="11">
        <f t="shared" si="13"/>
        <v>0.20576307692195023</v>
      </c>
      <c r="AB21" s="11">
        <f t="shared" si="13"/>
        <v>0.20521568555479863</v>
      </c>
      <c r="AC21" s="11">
        <f t="shared" si="13"/>
        <v>0.17238268278137875</v>
      </c>
      <c r="AD21" s="11">
        <f t="shared" si="13"/>
        <v>0.17594869127984183</v>
      </c>
      <c r="AE21" s="11">
        <f t="shared" si="13"/>
        <v>0.12325579569722102</v>
      </c>
      <c r="AF21" s="11">
        <f t="shared" si="13"/>
        <v>0.10997413860279</v>
      </c>
      <c r="AG21" s="11">
        <f t="shared" si="13"/>
        <v>0.16451443421084935</v>
      </c>
      <c r="AH21" s="11">
        <f t="shared" si="13"/>
        <v>0.18058006740817273</v>
      </c>
      <c r="AI21" s="11">
        <f t="shared" si="13"/>
        <v>0.16830857617957762</v>
      </c>
      <c r="AJ21" s="11">
        <f t="shared" si="13"/>
        <v>0.12158150009198507</v>
      </c>
      <c r="AK21" s="11">
        <f t="shared" si="13"/>
        <v>0.11503274673718789</v>
      </c>
      <c r="AL21" s="11">
        <f t="shared" si="13"/>
        <v>0.13942947465225075</v>
      </c>
      <c r="AM21" s="11">
        <f t="shared" si="13"/>
        <v>0.11537959403357964</v>
      </c>
      <c r="AN21" s="11">
        <f t="shared" si="13"/>
        <v>0.12880835724708373</v>
      </c>
      <c r="AO21" s="11">
        <f t="shared" si="13"/>
        <v>0.15300705021136077</v>
      </c>
      <c r="AP21" s="11">
        <f t="shared" si="13"/>
        <v>0.12661577948696809</v>
      </c>
      <c r="AQ21" s="11">
        <f t="shared" si="13"/>
        <v>0.13858187365759303</v>
      </c>
      <c r="AR21" s="11">
        <f t="shared" si="13"/>
        <v>7.7131449313730185E-2</v>
      </c>
      <c r="AS21" s="11">
        <f t="shared" si="13"/>
        <v>9.5177425170006796E-2</v>
      </c>
      <c r="AT21" s="11">
        <f t="shared" si="13"/>
        <v>9.1027161561474612E-2</v>
      </c>
      <c r="AU21" s="11">
        <f t="shared" si="13"/>
        <v>9.4522133536893371E-2</v>
      </c>
      <c r="AV21" s="11">
        <f t="shared" si="13"/>
        <v>8.3343950469003641E-2</v>
      </c>
      <c r="AW21" s="11">
        <f t="shared" si="13"/>
        <v>-3.5494632812749526E-2</v>
      </c>
      <c r="AX21" s="11">
        <f t="shared" si="13"/>
        <v>0.11140732516490161</v>
      </c>
      <c r="AY21" s="11">
        <f t="shared" si="13"/>
        <v>0.18587125426692261</v>
      </c>
      <c r="AZ21" s="11">
        <f t="shared" si="13"/>
        <v>0.18521182752467169</v>
      </c>
      <c r="BA21" s="11">
        <f t="shared" si="13"/>
        <v>0.17738320286368317</v>
      </c>
      <c r="BB21" s="11">
        <f t="shared" si="13"/>
        <v>0.21246842865235946</v>
      </c>
      <c r="BC21" s="11">
        <f t="shared" si="13"/>
        <v>0.17594106877502069</v>
      </c>
      <c r="BD21" s="11">
        <f t="shared" si="13"/>
        <v>0.17890398921476483</v>
      </c>
      <c r="BE21" s="11">
        <f t="shared" si="13"/>
        <v>0.11439337924520142</v>
      </c>
      <c r="BF21" s="11">
        <f t="shared" si="13"/>
        <v>0.12650636900919082</v>
      </c>
      <c r="BG21" s="11">
        <f t="shared" si="13"/>
        <v>0.12586682642688624</v>
      </c>
      <c r="BH21" s="11">
        <f t="shared" si="13"/>
        <v>0.1076968137061889</v>
      </c>
      <c r="BI21" s="11">
        <f t="shared" si="13"/>
        <v>3.516033839080035E-2</v>
      </c>
      <c r="BJ21" s="11">
        <f t="shared" si="13"/>
        <v>0.13747828411269511</v>
      </c>
      <c r="BK21" s="11">
        <f t="shared" si="13"/>
        <v>0.13555771538224443</v>
      </c>
      <c r="BL21" s="11">
        <f t="shared" si="13"/>
        <v>0.13910550728139309</v>
      </c>
      <c r="BM21" s="11">
        <f t="shared" si="13"/>
        <v>8.1003001162745239E-2</v>
      </c>
      <c r="BN21" s="11">
        <f t="shared" ref="BN21:BX21" si="14">BN20/(BN4)</f>
        <v>0.11129905208568777</v>
      </c>
      <c r="BO21" s="11">
        <f t="shared" si="14"/>
        <v>0.1100329447670015</v>
      </c>
      <c r="BP21" s="11">
        <f t="shared" si="14"/>
        <v>9.7004212343201737E-2</v>
      </c>
      <c r="BQ21" s="11">
        <f t="shared" si="14"/>
        <v>0.10915415793838429</v>
      </c>
      <c r="BR21" s="11">
        <f t="shared" si="14"/>
        <v>0.10705848328657673</v>
      </c>
      <c r="BS21" s="11">
        <f t="shared" si="14"/>
        <v>9.3779625851887469E-2</v>
      </c>
      <c r="BT21" s="11">
        <f t="shared" si="14"/>
        <v>8.0344376762833722E-2</v>
      </c>
      <c r="BU21" s="11">
        <f t="shared" si="14"/>
        <v>5.5623832734518389E-2</v>
      </c>
      <c r="BV21" s="11">
        <f t="shared" si="14"/>
        <v>0.14426711759455391</v>
      </c>
      <c r="BW21" s="11">
        <f t="shared" si="14"/>
        <v>0.11936810220074423</v>
      </c>
      <c r="BX21" s="11">
        <f t="shared" si="14"/>
        <v>0.12295809123894068</v>
      </c>
      <c r="BY21" s="11">
        <f>BY20/(BY4)</f>
        <v>0.10980372575328368</v>
      </c>
      <c r="BZ21" s="11">
        <f>BZ20/(BZ4)</f>
        <v>0.12507747598996621</v>
      </c>
      <c r="CA21" s="23"/>
      <c r="CB21" s="11"/>
      <c r="CC21" s="11"/>
      <c r="CD21" s="11"/>
      <c r="CE21" s="11"/>
      <c r="CF21" s="11"/>
      <c r="CG21" s="11"/>
      <c r="CH21" s="11">
        <f>CH20/(CH4)</f>
        <v>0.15230453605255787</v>
      </c>
      <c r="CI21" s="11">
        <f t="shared" ref="CI21:CS21" si="15">CI20/(CI4)</f>
        <v>0.15230453605255787</v>
      </c>
      <c r="CJ21" s="11">
        <f t="shared" si="15"/>
        <v>0.15230453605255787</v>
      </c>
      <c r="CK21" s="11">
        <f t="shared" si="15"/>
        <v>0.15230453605255787</v>
      </c>
      <c r="CL21" s="11">
        <f t="shared" si="15"/>
        <v>0.15230453605255787</v>
      </c>
      <c r="CM21" s="11">
        <f t="shared" si="15"/>
        <v>0.15230453605255787</v>
      </c>
      <c r="CN21" s="11">
        <f t="shared" si="15"/>
        <v>0.15230453605255787</v>
      </c>
      <c r="CO21" s="11">
        <f t="shared" si="15"/>
        <v>0.15230453605255787</v>
      </c>
      <c r="CP21" s="11">
        <f t="shared" si="15"/>
        <v>0.15230453605255787</v>
      </c>
      <c r="CQ21" s="11">
        <f t="shared" si="15"/>
        <v>0.15230453605255787</v>
      </c>
      <c r="CR21" s="11">
        <f t="shared" si="15"/>
        <v>0.15230453605255787</v>
      </c>
      <c r="CS21" s="11">
        <f t="shared" si="15"/>
        <v>0.15230453605255787</v>
      </c>
    </row>
    <row r="22" spans="1:97" x14ac:dyDescent="0.3">
      <c r="A22" s="4" t="s">
        <v>27</v>
      </c>
      <c r="B22" s="10">
        <f>B20+B11</f>
        <v>1981618.769999997</v>
      </c>
      <c r="C22" s="10">
        <f t="shared" ref="C22:BN22" si="16">C20+C11</f>
        <v>2051776.1899999995</v>
      </c>
      <c r="D22" s="10">
        <f t="shared" si="16"/>
        <v>3120045.5300000003</v>
      </c>
      <c r="E22" s="10">
        <f t="shared" si="16"/>
        <v>3008875.1400000025</v>
      </c>
      <c r="F22" s="10">
        <f t="shared" si="16"/>
        <v>2781832.1000000015</v>
      </c>
      <c r="G22" s="10">
        <f t="shared" si="16"/>
        <v>2506845.0700000026</v>
      </c>
      <c r="H22" s="10">
        <f t="shared" si="16"/>
        <v>2409440.549999997</v>
      </c>
      <c r="I22" s="10">
        <f t="shared" si="16"/>
        <v>2136881.0600000038</v>
      </c>
      <c r="J22" s="10">
        <f t="shared" si="16"/>
        <v>2638310.4700000025</v>
      </c>
      <c r="K22" s="10">
        <f t="shared" si="16"/>
        <v>2536699.9000000004</v>
      </c>
      <c r="L22" s="10">
        <f t="shared" si="16"/>
        <v>2504947.0199999996</v>
      </c>
      <c r="M22" s="10">
        <f t="shared" si="16"/>
        <v>2388875.680000003</v>
      </c>
      <c r="N22" s="10">
        <f t="shared" si="16"/>
        <v>1882704.19</v>
      </c>
      <c r="O22" s="10">
        <f t="shared" si="16"/>
        <v>2721819.3700000015</v>
      </c>
      <c r="P22" s="10">
        <f t="shared" si="16"/>
        <v>3748147.8000000007</v>
      </c>
      <c r="Q22" s="10">
        <f t="shared" si="16"/>
        <v>2652125.3899999987</v>
      </c>
      <c r="R22" s="10">
        <f t="shared" si="16"/>
        <v>2086171.0899999994</v>
      </c>
      <c r="S22" s="10">
        <f t="shared" si="16"/>
        <v>3083888.3199999989</v>
      </c>
      <c r="T22" s="10">
        <f t="shared" si="16"/>
        <v>2438289.7000000016</v>
      </c>
      <c r="U22" s="10">
        <f t="shared" si="16"/>
        <v>2477264.2999999998</v>
      </c>
      <c r="V22" s="10">
        <f t="shared" si="16"/>
        <v>2553214.280000004</v>
      </c>
      <c r="W22" s="10">
        <f t="shared" si="16"/>
        <v>2472226.6399999983</v>
      </c>
      <c r="X22" s="10">
        <f t="shared" si="16"/>
        <v>2593492.8299999987</v>
      </c>
      <c r="Y22" s="10">
        <f t="shared" si="16"/>
        <v>3037661.6600000011</v>
      </c>
      <c r="Z22" s="10">
        <f t="shared" si="16"/>
        <v>3292770.28</v>
      </c>
      <c r="AA22" s="10">
        <f t="shared" si="16"/>
        <v>3212453.05</v>
      </c>
      <c r="AB22" s="10">
        <f t="shared" si="16"/>
        <v>3450731.1200000024</v>
      </c>
      <c r="AC22" s="10">
        <f t="shared" si="16"/>
        <v>2799834.1000000015</v>
      </c>
      <c r="AD22" s="10">
        <f t="shared" si="16"/>
        <v>2784211.26</v>
      </c>
      <c r="AE22" s="10">
        <f t="shared" si="16"/>
        <v>2163803.0200000009</v>
      </c>
      <c r="AF22" s="10">
        <f t="shared" si="16"/>
        <v>2021585.570000001</v>
      </c>
      <c r="AG22" s="10">
        <f t="shared" si="16"/>
        <v>2864655.71</v>
      </c>
      <c r="AH22" s="10">
        <f t="shared" si="16"/>
        <v>2891024.4399999958</v>
      </c>
      <c r="AI22" s="10">
        <f t="shared" si="16"/>
        <v>2843130.0999999996</v>
      </c>
      <c r="AJ22" s="10">
        <f t="shared" si="16"/>
        <v>2160694.4000000013</v>
      </c>
      <c r="AK22" s="10">
        <f t="shared" si="16"/>
        <v>2013797.1099999971</v>
      </c>
      <c r="AL22" s="10">
        <f t="shared" si="16"/>
        <v>2518750.4999999991</v>
      </c>
      <c r="AM22" s="10">
        <f t="shared" si="16"/>
        <v>2198497.4100000011</v>
      </c>
      <c r="AN22" s="10">
        <f t="shared" si="16"/>
        <v>2636141.42</v>
      </c>
      <c r="AO22" s="10">
        <f t="shared" si="16"/>
        <v>3109871.8299999963</v>
      </c>
      <c r="AP22" s="10">
        <f t="shared" si="16"/>
        <v>2473886.4400000023</v>
      </c>
      <c r="AQ22" s="10">
        <f t="shared" si="16"/>
        <v>2620740.7100000009</v>
      </c>
      <c r="AR22" s="10">
        <f t="shared" si="16"/>
        <v>1696610.1499999985</v>
      </c>
      <c r="AS22" s="10">
        <f t="shared" si="16"/>
        <v>2043287.1100000013</v>
      </c>
      <c r="AT22" s="10">
        <f t="shared" si="16"/>
        <v>1875212.0700000031</v>
      </c>
      <c r="AU22" s="10">
        <f t="shared" si="16"/>
        <v>1876081.3000000005</v>
      </c>
      <c r="AV22" s="10">
        <f t="shared" si="16"/>
        <v>1833496.6800000027</v>
      </c>
      <c r="AW22" s="10">
        <f t="shared" si="16"/>
        <v>579982.14999999979</v>
      </c>
      <c r="AX22" s="10">
        <f t="shared" si="16"/>
        <v>2227044.0800000043</v>
      </c>
      <c r="AY22" s="10">
        <f t="shared" si="16"/>
        <v>3101452.1600000029</v>
      </c>
      <c r="AZ22" s="10">
        <f t="shared" si="16"/>
        <v>3149423.4899999974</v>
      </c>
      <c r="BA22" s="10">
        <f t="shared" si="16"/>
        <v>3009040.8399999989</v>
      </c>
      <c r="BB22" s="10">
        <f t="shared" si="16"/>
        <v>3328709.9099999974</v>
      </c>
      <c r="BC22" s="10">
        <f t="shared" si="16"/>
        <v>2831208.19</v>
      </c>
      <c r="BD22" s="10">
        <f t="shared" si="16"/>
        <v>2856097.5400000005</v>
      </c>
      <c r="BE22" s="10">
        <f t="shared" si="16"/>
        <v>1965614.6099999971</v>
      </c>
      <c r="BF22" s="10">
        <f t="shared" si="16"/>
        <v>2128150.13</v>
      </c>
      <c r="BG22" s="10">
        <f t="shared" si="16"/>
        <v>2153742.1800000006</v>
      </c>
      <c r="BH22" s="10">
        <f t="shared" si="16"/>
        <v>1994198.0699999991</v>
      </c>
      <c r="BI22" s="10">
        <f t="shared" si="16"/>
        <v>1175002.7400000023</v>
      </c>
      <c r="BJ22" s="10">
        <f t="shared" si="16"/>
        <v>2565583.8199999994</v>
      </c>
      <c r="BK22" s="10">
        <f t="shared" si="16"/>
        <v>2430084.1000000024</v>
      </c>
      <c r="BL22" s="10">
        <f t="shared" si="16"/>
        <v>2548938.850000001</v>
      </c>
      <c r="BM22" s="10">
        <f t="shared" si="16"/>
        <v>1593145.9699999997</v>
      </c>
      <c r="BN22" s="10">
        <f t="shared" si="16"/>
        <v>2215880.8699999964</v>
      </c>
      <c r="BO22" s="10">
        <f t="shared" ref="BO22:CS22" si="17">BO20+BO11</f>
        <v>2043531.4900000009</v>
      </c>
      <c r="BP22" s="10">
        <f t="shared" si="17"/>
        <v>1995912.4699999993</v>
      </c>
      <c r="BQ22" s="10">
        <f t="shared" si="17"/>
        <v>2132004.5099999998</v>
      </c>
      <c r="BR22" s="10">
        <f t="shared" si="17"/>
        <v>2140677.5000000014</v>
      </c>
      <c r="BS22" s="10">
        <f t="shared" si="17"/>
        <v>2028168.2900000017</v>
      </c>
      <c r="BT22" s="10">
        <f t="shared" si="17"/>
        <v>1832635.6499999978</v>
      </c>
      <c r="BU22" s="10">
        <f t="shared" si="17"/>
        <v>1344231.1099999982</v>
      </c>
      <c r="BV22" s="10">
        <f t="shared" si="17"/>
        <v>2830877.8000000003</v>
      </c>
      <c r="BW22" s="10">
        <f t="shared" si="17"/>
        <v>2431023.46</v>
      </c>
      <c r="BX22" s="10">
        <f t="shared" si="17"/>
        <v>2453968.5000000028</v>
      </c>
      <c r="BY22" s="10">
        <f t="shared" si="17"/>
        <v>2266298.4200000037</v>
      </c>
      <c r="BZ22" s="10">
        <f t="shared" ref="BZ22" si="18">BZ20+BZ11</f>
        <v>2501758.5900000012</v>
      </c>
      <c r="CA22" s="22"/>
      <c r="CB22" s="10"/>
      <c r="CC22" s="10"/>
      <c r="CD22" s="10"/>
      <c r="CE22" s="10"/>
      <c r="CF22" s="10"/>
      <c r="CG22" s="10"/>
      <c r="CH22" s="10">
        <f t="shared" si="17"/>
        <v>3141305</v>
      </c>
      <c r="CI22" s="10">
        <f t="shared" si="17"/>
        <v>3141305</v>
      </c>
      <c r="CJ22" s="10">
        <f t="shared" si="17"/>
        <v>3141305</v>
      </c>
      <c r="CK22" s="10">
        <f t="shared" si="17"/>
        <v>3141305</v>
      </c>
      <c r="CL22" s="10">
        <f t="shared" si="17"/>
        <v>3141305</v>
      </c>
      <c r="CM22" s="10">
        <f t="shared" si="17"/>
        <v>3141305</v>
      </c>
      <c r="CN22" s="10">
        <f t="shared" si="17"/>
        <v>3141305</v>
      </c>
      <c r="CO22" s="10">
        <f t="shared" si="17"/>
        <v>3141305</v>
      </c>
      <c r="CP22" s="10">
        <f t="shared" si="17"/>
        <v>3141305</v>
      </c>
      <c r="CQ22" s="10">
        <f t="shared" si="17"/>
        <v>3141305</v>
      </c>
      <c r="CR22" s="10">
        <f t="shared" si="17"/>
        <v>3141305</v>
      </c>
      <c r="CS22" s="10">
        <f t="shared" si="17"/>
        <v>3141305</v>
      </c>
    </row>
    <row r="23" spans="1:97" x14ac:dyDescent="0.3">
      <c r="A23" s="4" t="s">
        <v>28</v>
      </c>
      <c r="B23" s="11">
        <f>B22/B4</f>
        <v>0.16138326143618037</v>
      </c>
      <c r="C23" s="11">
        <f t="shared" ref="C23:BN23" si="19">C22/C4</f>
        <v>0.18654681765251646</v>
      </c>
      <c r="D23" s="11">
        <f t="shared" si="19"/>
        <v>0.23535493280258354</v>
      </c>
      <c r="E23" s="11">
        <f t="shared" si="19"/>
        <v>0.21501146213715711</v>
      </c>
      <c r="F23" s="11">
        <f t="shared" si="19"/>
        <v>0.20485843666979972</v>
      </c>
      <c r="G23" s="11">
        <f t="shared" si="19"/>
        <v>0.22138965998983617</v>
      </c>
      <c r="H23" s="11">
        <f t="shared" si="19"/>
        <v>0.20845834311263831</v>
      </c>
      <c r="I23" s="11">
        <f t="shared" si="19"/>
        <v>0.20240510085152555</v>
      </c>
      <c r="J23" s="11">
        <f t="shared" si="19"/>
        <v>0.22764582835700722</v>
      </c>
      <c r="K23" s="11">
        <f t="shared" si="19"/>
        <v>0.21185724092587541</v>
      </c>
      <c r="L23" s="11">
        <f t="shared" si="19"/>
        <v>0.22299829108655747</v>
      </c>
      <c r="M23" s="11">
        <f t="shared" si="19"/>
        <v>0.23932302318104581</v>
      </c>
      <c r="N23" s="11">
        <f t="shared" si="19"/>
        <v>0.18644716540723144</v>
      </c>
      <c r="O23" s="11">
        <f t="shared" si="19"/>
        <v>0.22951646569325496</v>
      </c>
      <c r="P23" s="11">
        <f t="shared" si="19"/>
        <v>0.28436250335161639</v>
      </c>
      <c r="Q23" s="11">
        <f t="shared" si="19"/>
        <v>0.24709495245904517</v>
      </c>
      <c r="R23" s="11">
        <f t="shared" si="19"/>
        <v>0.22766024240507693</v>
      </c>
      <c r="S23" s="11">
        <f t="shared" si="19"/>
        <v>0.29805140340638014</v>
      </c>
      <c r="T23" s="11">
        <f t="shared" si="19"/>
        <v>0.24180828168391225</v>
      </c>
      <c r="U23" s="11">
        <f t="shared" si="19"/>
        <v>0.23541162464473289</v>
      </c>
      <c r="V23" s="11">
        <f t="shared" si="19"/>
        <v>0.23488592200480163</v>
      </c>
      <c r="W23" s="11">
        <f t="shared" si="19"/>
        <v>0.20958716562321636</v>
      </c>
      <c r="X23" s="11">
        <f t="shared" si="19"/>
        <v>0.21852300699277316</v>
      </c>
      <c r="Y23" s="11">
        <f t="shared" si="19"/>
        <v>0.28189088111903587</v>
      </c>
      <c r="Z23" s="11">
        <f t="shared" si="19"/>
        <v>0.26167701483382966</v>
      </c>
      <c r="AA23" s="11">
        <f t="shared" si="19"/>
        <v>0.26082460946432456</v>
      </c>
      <c r="AB23" s="11">
        <f t="shared" si="19"/>
        <v>0.25583753345251153</v>
      </c>
      <c r="AC23" s="11">
        <f t="shared" si="19"/>
        <v>0.22805484828728484</v>
      </c>
      <c r="AD23" s="11">
        <f t="shared" si="19"/>
        <v>0.23292897650098135</v>
      </c>
      <c r="AE23" s="11">
        <f t="shared" si="19"/>
        <v>0.18132232706500631</v>
      </c>
      <c r="AF23" s="11">
        <f t="shared" si="19"/>
        <v>0.16713450649118364</v>
      </c>
      <c r="AG23" s="11">
        <f t="shared" si="19"/>
        <v>0.21681020268415588</v>
      </c>
      <c r="AH23" s="11">
        <f t="shared" si="19"/>
        <v>0.23753108800481798</v>
      </c>
      <c r="AI23" s="11">
        <f t="shared" si="19"/>
        <v>0.22263949098186481</v>
      </c>
      <c r="AJ23" s="11">
        <f t="shared" si="19"/>
        <v>0.17826276787324619</v>
      </c>
      <c r="AK23" s="11">
        <f t="shared" si="19"/>
        <v>0.18692284073124768</v>
      </c>
      <c r="AL23" s="11">
        <f t="shared" si="19"/>
        <v>0.20285278064508303</v>
      </c>
      <c r="AM23" s="11">
        <f t="shared" si="19"/>
        <v>0.18109410922853866</v>
      </c>
      <c r="AN23" s="11">
        <f t="shared" si="19"/>
        <v>0.18617346967648263</v>
      </c>
      <c r="AO23" s="11">
        <f t="shared" si="19"/>
        <v>0.20715489817260979</v>
      </c>
      <c r="AP23" s="11">
        <f t="shared" si="19"/>
        <v>0.18839024162807153</v>
      </c>
      <c r="AQ23" s="11">
        <f t="shared" si="19"/>
        <v>0.20092920204664613</v>
      </c>
      <c r="AR23" s="11">
        <f t="shared" si="19"/>
        <v>0.14671836889818723</v>
      </c>
      <c r="AS23" s="11">
        <f t="shared" si="19"/>
        <v>0.16059355106429915</v>
      </c>
      <c r="AT23" s="11">
        <f t="shared" si="19"/>
        <v>0.16393182306442758</v>
      </c>
      <c r="AU23" s="11">
        <f t="shared" si="19"/>
        <v>0.16947205743675844</v>
      </c>
      <c r="AV23" s="11">
        <f t="shared" si="19"/>
        <v>0.1515127392716176</v>
      </c>
      <c r="AW23" s="11">
        <f t="shared" si="19"/>
        <v>7.8222966955360268E-2</v>
      </c>
      <c r="AX23" s="11">
        <f t="shared" si="19"/>
        <v>0.17649581895981226</v>
      </c>
      <c r="AY23" s="11">
        <f t="shared" si="19"/>
        <v>0.25284979464028401</v>
      </c>
      <c r="AZ23" s="11">
        <f t="shared" si="19"/>
        <v>0.25070227836012215</v>
      </c>
      <c r="BA23" s="11">
        <f t="shared" si="19"/>
        <v>0.24370546544025962</v>
      </c>
      <c r="BB23" s="11">
        <f t="shared" si="19"/>
        <v>0.28191123738733609</v>
      </c>
      <c r="BC23" s="11">
        <f t="shared" si="19"/>
        <v>0.24755644344905761</v>
      </c>
      <c r="BD23" s="11">
        <f t="shared" si="19"/>
        <v>0.25056356805214469</v>
      </c>
      <c r="BE23" s="11">
        <f t="shared" si="19"/>
        <v>0.19402742346201882</v>
      </c>
      <c r="BF23" s="11">
        <f t="shared" si="19"/>
        <v>0.20389958734602545</v>
      </c>
      <c r="BG23" s="11">
        <f t="shared" si="19"/>
        <v>0.20619536138167205</v>
      </c>
      <c r="BH23" s="11">
        <f t="shared" si="19"/>
        <v>0.18628167682602903</v>
      </c>
      <c r="BI23" s="11">
        <f t="shared" si="19"/>
        <v>0.15035827061238036</v>
      </c>
      <c r="BJ23" s="11">
        <f t="shared" si="19"/>
        <v>0.21215120316679112</v>
      </c>
      <c r="BK23" s="11">
        <f t="shared" si="19"/>
        <v>0.20968781219536367</v>
      </c>
      <c r="BL23" s="11">
        <f t="shared" si="19"/>
        <v>0.21223463647649327</v>
      </c>
      <c r="BM23" s="11">
        <f t="shared" si="19"/>
        <v>0.18046009937422441</v>
      </c>
      <c r="BN23" s="11">
        <f t="shared" si="19"/>
        <v>0.18432813586279598</v>
      </c>
      <c r="BO23" s="11">
        <f t="shared" ref="BO23:CS23" si="20">BO22/BO4</f>
        <v>0.19508842337941107</v>
      </c>
      <c r="BP23" s="11">
        <f t="shared" si="20"/>
        <v>0.17431159513582489</v>
      </c>
      <c r="BQ23" s="11">
        <f t="shared" si="20"/>
        <v>0.18796736129652372</v>
      </c>
      <c r="BR23" s="11">
        <f t="shared" si="20"/>
        <v>0.18440233712946574</v>
      </c>
      <c r="BS23" s="11">
        <f t="shared" si="20"/>
        <v>0.16810065514048389</v>
      </c>
      <c r="BT23" s="11">
        <f t="shared" si="20"/>
        <v>0.15610939654633343</v>
      </c>
      <c r="BU23" s="11">
        <f t="shared" si="20"/>
        <v>0.14080357634399032</v>
      </c>
      <c r="BV23" s="11">
        <f t="shared" si="20"/>
        <v>0.21284112556764392</v>
      </c>
      <c r="BW23" s="11">
        <f t="shared" si="20"/>
        <v>0.19110759247336734</v>
      </c>
      <c r="BX23" s="11">
        <f t="shared" si="20"/>
        <v>0.19751458222638951</v>
      </c>
      <c r="BY23" s="11">
        <f t="shared" si="20"/>
        <v>0.18721008690204477</v>
      </c>
      <c r="BZ23" s="11">
        <f t="shared" ref="BZ23" si="21">BZ22/BZ4</f>
        <v>0.20043455054811665</v>
      </c>
      <c r="CA23" s="23"/>
      <c r="CB23" s="11"/>
      <c r="CC23" s="11"/>
      <c r="CD23" s="11"/>
      <c r="CE23" s="11"/>
      <c r="CF23" s="11"/>
      <c r="CG23" s="11"/>
      <c r="CH23" s="11">
        <f t="shared" si="20"/>
        <v>0.21199322443387919</v>
      </c>
      <c r="CI23" s="11">
        <f t="shared" si="20"/>
        <v>0.21199322443387919</v>
      </c>
      <c r="CJ23" s="11">
        <f t="shared" si="20"/>
        <v>0.21199322443387919</v>
      </c>
      <c r="CK23" s="11">
        <f t="shared" si="20"/>
        <v>0.21199322443387919</v>
      </c>
      <c r="CL23" s="11">
        <f t="shared" si="20"/>
        <v>0.21199322443387919</v>
      </c>
      <c r="CM23" s="11">
        <f t="shared" si="20"/>
        <v>0.21199322443387919</v>
      </c>
      <c r="CN23" s="11">
        <f t="shared" si="20"/>
        <v>0.21199322443387919</v>
      </c>
      <c r="CO23" s="11">
        <f t="shared" si="20"/>
        <v>0.21199322443387919</v>
      </c>
      <c r="CP23" s="11">
        <f t="shared" si="20"/>
        <v>0.21199322443387919</v>
      </c>
      <c r="CQ23" s="11">
        <f t="shared" si="20"/>
        <v>0.21199322443387919</v>
      </c>
      <c r="CR23" s="11">
        <f t="shared" si="20"/>
        <v>0.21199322443387919</v>
      </c>
      <c r="CS23" s="11">
        <f t="shared" si="20"/>
        <v>0.21199322443387919</v>
      </c>
    </row>
    <row r="24" spans="1:97" x14ac:dyDescent="0.3">
      <c r="A24" s="4"/>
      <c r="CA24" s="23"/>
    </row>
    <row r="25" spans="1:97" x14ac:dyDescent="0.3">
      <c r="A25" s="4" t="s">
        <v>29</v>
      </c>
      <c r="B25" s="12">
        <v>271774.51</v>
      </c>
      <c r="C25" s="12">
        <v>279375.54000000004</v>
      </c>
      <c r="D25" s="12">
        <v>294933.09999999998</v>
      </c>
      <c r="E25" s="12">
        <v>298079.46000000002</v>
      </c>
      <c r="F25" s="12">
        <v>294979.90999999997</v>
      </c>
      <c r="G25" s="12">
        <v>293886.20000000007</v>
      </c>
      <c r="H25" s="12">
        <v>295357.65000000008</v>
      </c>
      <c r="I25" s="12">
        <v>298904.88</v>
      </c>
      <c r="J25" s="12">
        <v>294401.23000000004</v>
      </c>
      <c r="K25" s="12">
        <v>306604.91000000003</v>
      </c>
      <c r="L25" s="12">
        <v>274339.44000000006</v>
      </c>
      <c r="M25" s="12">
        <v>62996.030000000028</v>
      </c>
      <c r="N25" s="12">
        <v>267889.83</v>
      </c>
      <c r="O25" s="12">
        <v>289322.23999999999</v>
      </c>
      <c r="P25" s="12">
        <v>269509.13999999996</v>
      </c>
      <c r="Q25" s="12">
        <v>243023.47999999998</v>
      </c>
      <c r="R25" s="12">
        <v>211436.81</v>
      </c>
      <c r="S25" s="12">
        <v>217712.81</v>
      </c>
      <c r="T25" s="12">
        <v>193487.47999999998</v>
      </c>
      <c r="U25" s="12">
        <v>192483.33000000002</v>
      </c>
      <c r="V25" s="12">
        <v>221751.33000000002</v>
      </c>
      <c r="W25" s="12">
        <v>207288.33000000002</v>
      </c>
      <c r="X25" s="12">
        <v>220170.17</v>
      </c>
      <c r="Y25" s="12">
        <v>104059.00999999998</v>
      </c>
      <c r="Z25" s="12">
        <v>210513.81999999998</v>
      </c>
      <c r="AA25" s="12">
        <v>209928.12999999998</v>
      </c>
      <c r="AB25" s="12">
        <v>211288.38</v>
      </c>
      <c r="AC25" s="12">
        <v>204535.37</v>
      </c>
      <c r="AD25" s="12">
        <v>219210.00999999998</v>
      </c>
      <c r="AE25" s="12">
        <v>217651.33</v>
      </c>
      <c r="AF25" s="12">
        <v>217651.33</v>
      </c>
      <c r="AG25" s="12">
        <v>221380.33</v>
      </c>
      <c r="AH25" s="12">
        <v>219013.33</v>
      </c>
      <c r="AI25" s="12">
        <v>223533.67</v>
      </c>
      <c r="AJ25" s="12">
        <v>214148.33</v>
      </c>
      <c r="AK25" s="12">
        <v>65968.97000000003</v>
      </c>
      <c r="AL25" s="12">
        <v>216392.31999999998</v>
      </c>
      <c r="AM25" s="12">
        <v>215547.49</v>
      </c>
      <c r="AN25" s="12">
        <v>220001.16999999998</v>
      </c>
      <c r="AO25" s="12">
        <v>217193.79999999996</v>
      </c>
      <c r="AP25" s="12">
        <v>217348.14999999997</v>
      </c>
      <c r="AQ25" s="12">
        <v>222714.14999999997</v>
      </c>
      <c r="AR25" s="12">
        <v>222714.14999999997</v>
      </c>
      <c r="AS25" s="12">
        <v>203202.14999999997</v>
      </c>
      <c r="AT25" s="12">
        <v>224329.81</v>
      </c>
      <c r="AU25" s="12">
        <v>224483.81</v>
      </c>
      <c r="AV25" s="12">
        <v>219037.81</v>
      </c>
      <c r="AW25" s="12">
        <v>196590.85000000003</v>
      </c>
      <c r="AX25" s="12">
        <v>213537.49</v>
      </c>
      <c r="AY25" s="12">
        <v>220845.49</v>
      </c>
      <c r="AZ25" s="12">
        <v>202449.97</v>
      </c>
      <c r="BA25" s="12">
        <v>204645.83</v>
      </c>
      <c r="BB25" s="12">
        <v>206256.83</v>
      </c>
      <c r="BC25" s="12">
        <v>203033.16</v>
      </c>
      <c r="BD25" s="12">
        <v>199525.83</v>
      </c>
      <c r="BE25" s="12">
        <v>199692.83</v>
      </c>
      <c r="BF25" s="12">
        <v>202180.83</v>
      </c>
      <c r="BG25" s="12">
        <v>208366.49999999997</v>
      </c>
      <c r="BH25" s="12">
        <v>217366.49999999997</v>
      </c>
      <c r="BI25" s="12">
        <v>119389.05000000002</v>
      </c>
      <c r="BJ25" s="12">
        <v>209918.94</v>
      </c>
      <c r="BK25" s="12">
        <v>210937.25000000003</v>
      </c>
      <c r="BL25" s="12">
        <v>214257.92000000001</v>
      </c>
      <c r="BM25" s="12">
        <v>214257.92000000001</v>
      </c>
      <c r="BN25" s="12">
        <v>207025.60000000003</v>
      </c>
      <c r="BO25" s="12">
        <v>214241.27000000005</v>
      </c>
      <c r="BP25" s="12">
        <v>214241.27000000005</v>
      </c>
      <c r="BQ25" s="12">
        <v>222169.60000000003</v>
      </c>
      <c r="BR25" s="12">
        <v>221628.74000000002</v>
      </c>
      <c r="BS25" s="12">
        <v>218293.76000000004</v>
      </c>
      <c r="BT25" s="12">
        <v>219345.45000000004</v>
      </c>
      <c r="BU25" s="12">
        <v>104918.01</v>
      </c>
      <c r="BV25" s="12">
        <v>210594.06999999998</v>
      </c>
      <c r="BW25" s="12">
        <v>206574.06999999998</v>
      </c>
      <c r="BX25" s="12">
        <v>209495.74999999997</v>
      </c>
      <c r="BY25" s="12">
        <v>211360.74999999997</v>
      </c>
      <c r="BZ25" s="12">
        <v>225985.74999999997</v>
      </c>
      <c r="CA25" s="18"/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</row>
    <row r="26" spans="1:97" x14ac:dyDescent="0.3">
      <c r="A26" s="4" t="s">
        <v>30</v>
      </c>
      <c r="B26" s="12">
        <v>86449</v>
      </c>
      <c r="C26" s="12">
        <v>87777</v>
      </c>
      <c r="D26" s="12">
        <v>105080</v>
      </c>
      <c r="E26" s="12">
        <v>129592</v>
      </c>
      <c r="F26" s="12">
        <v>110988</v>
      </c>
      <c r="G26" s="12">
        <v>87703</v>
      </c>
      <c r="H26" s="12">
        <v>95990</v>
      </c>
      <c r="I26" s="12">
        <v>91998</v>
      </c>
      <c r="J26" s="12">
        <v>91310</v>
      </c>
      <c r="K26" s="12">
        <v>102588</v>
      </c>
      <c r="L26" s="12">
        <v>96621</v>
      </c>
      <c r="M26" s="12">
        <v>-71589.759999999995</v>
      </c>
      <c r="N26" s="12">
        <v>89870</v>
      </c>
      <c r="O26" s="12">
        <v>94990</v>
      </c>
      <c r="P26" s="12">
        <v>107293</v>
      </c>
      <c r="Q26" s="12">
        <v>98148</v>
      </c>
      <c r="R26" s="12">
        <v>65107</v>
      </c>
      <c r="S26" s="12">
        <v>94848</v>
      </c>
      <c r="T26" s="12">
        <v>89586</v>
      </c>
      <c r="U26" s="12">
        <v>92082</v>
      </c>
      <c r="V26" s="12">
        <v>82093</v>
      </c>
      <c r="W26" s="12">
        <v>91949</v>
      </c>
      <c r="X26" s="12">
        <v>95685</v>
      </c>
      <c r="Y26" s="12">
        <v>-94350</v>
      </c>
      <c r="Z26" s="12">
        <v>104318</v>
      </c>
      <c r="AA26" s="12">
        <v>99812</v>
      </c>
      <c r="AB26" s="12">
        <v>113321</v>
      </c>
      <c r="AC26" s="12">
        <v>110036</v>
      </c>
      <c r="AD26" s="12">
        <v>101420</v>
      </c>
      <c r="AE26" s="12">
        <v>106239</v>
      </c>
      <c r="AF26" s="12">
        <v>104853</v>
      </c>
      <c r="AG26" s="12">
        <v>112387</v>
      </c>
      <c r="AH26" s="12">
        <v>110210</v>
      </c>
      <c r="AI26" s="12">
        <v>106302</v>
      </c>
      <c r="AJ26" s="12">
        <v>110511</v>
      </c>
      <c r="AK26" s="12">
        <v>39340</v>
      </c>
      <c r="AL26" s="12">
        <v>101035</v>
      </c>
      <c r="AM26" s="12">
        <v>97878</v>
      </c>
      <c r="AN26" s="12">
        <v>109776</v>
      </c>
      <c r="AO26" s="12">
        <v>110574</v>
      </c>
      <c r="AP26" s="12">
        <v>102898.29</v>
      </c>
      <c r="AQ26" s="12">
        <v>94666.05</v>
      </c>
      <c r="AR26" s="12">
        <v>91670.43</v>
      </c>
      <c r="AS26" s="12">
        <v>89046.720000000001</v>
      </c>
      <c r="AT26" s="12">
        <v>86393</v>
      </c>
      <c r="AU26" s="12">
        <v>66357</v>
      </c>
      <c r="AV26" s="12">
        <v>65223</v>
      </c>
      <c r="AW26" s="12">
        <v>-148334.03</v>
      </c>
      <c r="AX26" s="12">
        <v>89662</v>
      </c>
      <c r="AY26" s="12">
        <v>92369</v>
      </c>
      <c r="AZ26" s="12">
        <v>96099</v>
      </c>
      <c r="BA26" s="12">
        <v>80156</v>
      </c>
      <c r="BB26" s="12">
        <v>89119</v>
      </c>
      <c r="BC26" s="12">
        <v>89234</v>
      </c>
      <c r="BD26" s="12">
        <v>85651</v>
      </c>
      <c r="BE26" s="12">
        <v>82604</v>
      </c>
      <c r="BF26" s="12">
        <v>83482</v>
      </c>
      <c r="BG26" s="12">
        <v>42611</v>
      </c>
      <c r="BH26" s="12">
        <v>50160</v>
      </c>
      <c r="BI26" s="12">
        <v>-9376</v>
      </c>
      <c r="BJ26" s="12">
        <v>85751</v>
      </c>
      <c r="BK26" s="12">
        <v>86631</v>
      </c>
      <c r="BL26" s="12">
        <v>87970</v>
      </c>
      <c r="BM26" s="12">
        <v>71579</v>
      </c>
      <c r="BN26" s="12">
        <v>79222</v>
      </c>
      <c r="BO26" s="12">
        <v>71810</v>
      </c>
      <c r="BP26" s="12">
        <v>75915</v>
      </c>
      <c r="BQ26" s="12">
        <v>78013</v>
      </c>
      <c r="BR26" s="12">
        <v>52089</v>
      </c>
      <c r="BS26" s="12">
        <v>49298</v>
      </c>
      <c r="BT26" s="12">
        <v>91038</v>
      </c>
      <c r="BU26" s="12">
        <v>-64821</v>
      </c>
      <c r="BV26" s="12">
        <v>100910</v>
      </c>
      <c r="BW26" s="12">
        <v>90527</v>
      </c>
      <c r="BX26" s="12">
        <v>95156</v>
      </c>
      <c r="BY26" s="12">
        <v>93382</v>
      </c>
      <c r="BZ26" s="12">
        <v>88761</v>
      </c>
      <c r="CA26" s="18"/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</row>
    <row r="27" spans="1:97" x14ac:dyDescent="0.3">
      <c r="A27" s="4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23"/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</row>
    <row r="28" spans="1:97" x14ac:dyDescent="0.3">
      <c r="A28" s="4" t="s">
        <v>32</v>
      </c>
      <c r="B28" s="12">
        <v>13165.33</v>
      </c>
      <c r="C28" s="12">
        <v>12038.310000000001</v>
      </c>
      <c r="D28" s="12">
        <v>10700</v>
      </c>
      <c r="E28" s="12">
        <v>4237</v>
      </c>
      <c r="F28" s="12">
        <v>3570</v>
      </c>
      <c r="G28" s="12">
        <v>26303</v>
      </c>
      <c r="H28" s="12">
        <v>22229</v>
      </c>
      <c r="I28" s="12">
        <v>5350</v>
      </c>
      <c r="J28" s="12">
        <v>12027.119999999999</v>
      </c>
      <c r="K28" s="12">
        <v>13935.01</v>
      </c>
      <c r="L28" s="12">
        <v>7683</v>
      </c>
      <c r="M28" s="12">
        <v>345.46999999999935</v>
      </c>
      <c r="N28" s="12">
        <v>13690</v>
      </c>
      <c r="O28" s="12">
        <v>6322.75</v>
      </c>
      <c r="P28" s="12">
        <v>537.25</v>
      </c>
      <c r="Q28" s="12">
        <v>0</v>
      </c>
      <c r="R28" s="12">
        <v>0</v>
      </c>
      <c r="S28" s="12">
        <v>0</v>
      </c>
      <c r="T28" s="12">
        <v>9645</v>
      </c>
      <c r="U28" s="12">
        <v>0</v>
      </c>
      <c r="V28" s="12">
        <v>8089</v>
      </c>
      <c r="W28" s="12">
        <v>0</v>
      </c>
      <c r="X28" s="12">
        <v>467.5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7764</v>
      </c>
      <c r="AJ28" s="12">
        <v>3148.79</v>
      </c>
      <c r="AK28" s="12">
        <v>2337</v>
      </c>
      <c r="AL28" s="12">
        <v>2425</v>
      </c>
      <c r="AM28" s="12">
        <v>5792.57</v>
      </c>
      <c r="AN28" s="12">
        <v>3099.52</v>
      </c>
      <c r="AO28" s="12">
        <v>0</v>
      </c>
      <c r="AP28" s="12">
        <v>5767.5</v>
      </c>
      <c r="AQ28" s="12">
        <v>10164.76</v>
      </c>
      <c r="AR28" s="12">
        <v>0</v>
      </c>
      <c r="AS28" s="12">
        <v>1350</v>
      </c>
      <c r="AT28" s="12">
        <v>563</v>
      </c>
      <c r="AU28" s="12">
        <v>3714.91</v>
      </c>
      <c r="AV28" s="12">
        <v>5159.92</v>
      </c>
      <c r="AW28" s="12">
        <v>6839.17</v>
      </c>
      <c r="AX28" s="12">
        <v>1000</v>
      </c>
      <c r="AY28" s="12">
        <v>5998.75</v>
      </c>
      <c r="AZ28" s="12">
        <v>6892.5</v>
      </c>
      <c r="BA28" s="12">
        <v>1252.5</v>
      </c>
      <c r="BB28" s="12">
        <v>5185</v>
      </c>
      <c r="BC28" s="12">
        <v>7769.25</v>
      </c>
      <c r="BD28" s="12">
        <v>2147</v>
      </c>
      <c r="BE28" s="12">
        <v>7651.25</v>
      </c>
      <c r="BF28" s="12">
        <v>181.23</v>
      </c>
      <c r="BG28" s="12">
        <v>155</v>
      </c>
      <c r="BH28" s="12">
        <v>9884.5</v>
      </c>
      <c r="BI28" s="12">
        <v>3801.75</v>
      </c>
      <c r="BJ28" s="12">
        <v>5574.5</v>
      </c>
      <c r="BK28" s="12">
        <v>8618.5</v>
      </c>
      <c r="BL28" s="12">
        <v>0</v>
      </c>
      <c r="BM28" s="12">
        <v>5236.75</v>
      </c>
      <c r="BN28" s="12">
        <v>1824</v>
      </c>
      <c r="BO28" s="12">
        <v>7880</v>
      </c>
      <c r="BP28" s="12">
        <v>4237.25</v>
      </c>
      <c r="BQ28" s="12">
        <v>2221.5100000000002</v>
      </c>
      <c r="BR28" s="12">
        <v>6766</v>
      </c>
      <c r="BS28" s="12">
        <v>6153</v>
      </c>
      <c r="BT28" s="12">
        <v>975.5</v>
      </c>
      <c r="BU28" s="12">
        <v>1626.9299999999998</v>
      </c>
      <c r="BV28" s="12">
        <v>6815.5</v>
      </c>
      <c r="BW28" s="12">
        <v>4790</v>
      </c>
      <c r="BX28" s="12">
        <v>0</v>
      </c>
      <c r="BY28" s="12">
        <v>5721.0599999999995</v>
      </c>
      <c r="BZ28" s="12">
        <v>965</v>
      </c>
      <c r="CA28" s="18"/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</row>
    <row r="29" spans="1:97" x14ac:dyDescent="0.3">
      <c r="A29" s="4" t="s">
        <v>33</v>
      </c>
      <c r="B29" s="12">
        <v>7916.18</v>
      </c>
      <c r="C29" s="12">
        <v>10058.93</v>
      </c>
      <c r="D29" s="12">
        <v>8944.9499999999989</v>
      </c>
      <c r="E29" s="12">
        <v>14061.920000000002</v>
      </c>
      <c r="F29" s="12">
        <v>9277.77</v>
      </c>
      <c r="G29" s="12">
        <v>9001.92</v>
      </c>
      <c r="H29" s="12">
        <v>15726.34</v>
      </c>
      <c r="I29" s="12">
        <v>19180.990000000002</v>
      </c>
      <c r="J29" s="12">
        <v>24571.599999999999</v>
      </c>
      <c r="K29" s="12">
        <v>15881.22</v>
      </c>
      <c r="L29" s="12">
        <v>16809.739999999998</v>
      </c>
      <c r="M29" s="12">
        <v>13043.939999999999</v>
      </c>
      <c r="N29" s="12">
        <v>4660.38</v>
      </c>
      <c r="O29" s="12">
        <v>4679.75</v>
      </c>
      <c r="P29" s="12">
        <v>7541.1</v>
      </c>
      <c r="Q29" s="12">
        <v>8577.5400000000009</v>
      </c>
      <c r="R29" s="12">
        <v>3470.0699999999997</v>
      </c>
      <c r="S29" s="12">
        <v>6795.4700000000012</v>
      </c>
      <c r="T29" s="12">
        <v>17746.830000000002</v>
      </c>
      <c r="U29" s="12">
        <v>12877.790000000005</v>
      </c>
      <c r="V29" s="12">
        <v>17485.16</v>
      </c>
      <c r="W29" s="12">
        <v>12620.39</v>
      </c>
      <c r="X29" s="12">
        <v>19529.82</v>
      </c>
      <c r="Y29" s="12">
        <v>25674.489999999998</v>
      </c>
      <c r="Z29" s="12">
        <v>6741.7300000000005</v>
      </c>
      <c r="AA29" s="12">
        <v>6727.32</v>
      </c>
      <c r="AB29" s="12">
        <v>18057.189999999999</v>
      </c>
      <c r="AC29" s="12">
        <v>7289.32</v>
      </c>
      <c r="AD29" s="12">
        <v>24104.49</v>
      </c>
      <c r="AE29" s="12">
        <v>25020.75</v>
      </c>
      <c r="AF29" s="12">
        <v>29743.15</v>
      </c>
      <c r="AG29" s="12">
        <v>36658.31</v>
      </c>
      <c r="AH29" s="12">
        <v>32827.18</v>
      </c>
      <c r="AI29" s="12">
        <v>39064.910000000003</v>
      </c>
      <c r="AJ29" s="12">
        <v>35662.089999999997</v>
      </c>
      <c r="AK29" s="12">
        <v>46257.32</v>
      </c>
      <c r="AL29" s="12">
        <v>44500.09</v>
      </c>
      <c r="AM29" s="12">
        <v>45014.7</v>
      </c>
      <c r="AN29" s="12">
        <v>42556.07</v>
      </c>
      <c r="AO29" s="12">
        <v>52207.92</v>
      </c>
      <c r="AP29" s="12">
        <v>36384.61</v>
      </c>
      <c r="AQ29" s="12">
        <v>11520.94</v>
      </c>
      <c r="AR29" s="12">
        <v>6656.9400000000005</v>
      </c>
      <c r="AS29" s="12">
        <v>25354.23</v>
      </c>
      <c r="AT29" s="12">
        <v>10489.460000000001</v>
      </c>
      <c r="AU29" s="12">
        <v>11378.94</v>
      </c>
      <c r="AV29" s="12">
        <v>10488.25</v>
      </c>
      <c r="AW29" s="12">
        <v>15084.579999999998</v>
      </c>
      <c r="AX29" s="12">
        <v>8303.52</v>
      </c>
      <c r="AY29" s="12">
        <v>12344</v>
      </c>
      <c r="AZ29" s="12">
        <v>11850.45</v>
      </c>
      <c r="BA29" s="12">
        <v>11539.32</v>
      </c>
      <c r="BB29" s="12">
        <v>17341.96</v>
      </c>
      <c r="BC29" s="12">
        <v>9863.66</v>
      </c>
      <c r="BD29" s="12">
        <v>6952.37</v>
      </c>
      <c r="BE29" s="12">
        <v>7495.5599999999995</v>
      </c>
      <c r="BF29" s="12">
        <v>8456.2899999999991</v>
      </c>
      <c r="BG29" s="12">
        <v>10594.84</v>
      </c>
      <c r="BH29" s="12">
        <v>19885.89</v>
      </c>
      <c r="BI29" s="12">
        <v>25800.589999999997</v>
      </c>
      <c r="BJ29" s="12">
        <v>10081.460000000001</v>
      </c>
      <c r="BK29" s="12">
        <v>4028.33</v>
      </c>
      <c r="BL29" s="12">
        <v>5781.15</v>
      </c>
      <c r="BM29" s="12">
        <v>10732.41</v>
      </c>
      <c r="BN29" s="12">
        <v>6430.18</v>
      </c>
      <c r="BO29" s="12">
        <v>4776.1000000000004</v>
      </c>
      <c r="BP29" s="12">
        <v>9837.34</v>
      </c>
      <c r="BQ29" s="12">
        <v>10224.89</v>
      </c>
      <c r="BR29" s="12">
        <v>6252.9500000000007</v>
      </c>
      <c r="BS29" s="12">
        <v>9352.57</v>
      </c>
      <c r="BT29" s="12">
        <v>8687.14</v>
      </c>
      <c r="BU29" s="12">
        <v>9842.83</v>
      </c>
      <c r="BV29" s="12">
        <v>6803.3200000000006</v>
      </c>
      <c r="BW29" s="12">
        <v>4187.6400000000003</v>
      </c>
      <c r="BX29" s="12">
        <v>8792.4599999999991</v>
      </c>
      <c r="BY29" s="12">
        <v>10156.24</v>
      </c>
      <c r="BZ29" s="12">
        <v>4376.96</v>
      </c>
      <c r="CA29" s="18"/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</row>
    <row r="30" spans="1:97" x14ac:dyDescent="0.3">
      <c r="A30" s="4" t="s">
        <v>34</v>
      </c>
      <c r="B30" s="12">
        <v>76874.679999999993</v>
      </c>
      <c r="C30" s="12">
        <v>76695.379999999946</v>
      </c>
      <c r="D30" s="12">
        <v>103364.87000000005</v>
      </c>
      <c r="E30" s="12">
        <v>107362.60000000033</v>
      </c>
      <c r="F30" s="12">
        <v>86924.739999999932</v>
      </c>
      <c r="G30" s="12">
        <v>104897.95999999996</v>
      </c>
      <c r="H30" s="12">
        <v>119814.73999999987</v>
      </c>
      <c r="I30" s="12">
        <v>140023.15999999992</v>
      </c>
      <c r="J30" s="12">
        <v>139600.4599999999</v>
      </c>
      <c r="K30" s="12">
        <v>142261.66000000003</v>
      </c>
      <c r="L30" s="12">
        <v>140501.82999999996</v>
      </c>
      <c r="M30" s="12">
        <v>134210.36000000002</v>
      </c>
      <c r="N30" s="12">
        <v>126451.22999999998</v>
      </c>
      <c r="O30" s="12">
        <v>122835.04999999993</v>
      </c>
      <c r="P30" s="12">
        <v>122137.25000000006</v>
      </c>
      <c r="Q30" s="12">
        <v>117049.65000000002</v>
      </c>
      <c r="R30" s="12">
        <v>112302.40999999992</v>
      </c>
      <c r="S30" s="12">
        <v>113330.20999999985</v>
      </c>
      <c r="T30" s="12">
        <v>119349.25999999989</v>
      </c>
      <c r="U30" s="12">
        <v>128217.19999999995</v>
      </c>
      <c r="V30" s="12">
        <v>131032.58000000002</v>
      </c>
      <c r="W30" s="12">
        <v>131254.12999999989</v>
      </c>
      <c r="X30" s="12">
        <v>116947.96000000008</v>
      </c>
      <c r="Y30" s="12">
        <v>-175225.54</v>
      </c>
      <c r="Z30" s="12">
        <v>171151.82000000012</v>
      </c>
      <c r="AA30" s="12">
        <v>157794.18000000005</v>
      </c>
      <c r="AB30" s="12">
        <v>138637.68999999994</v>
      </c>
      <c r="AC30" s="12">
        <v>134875.57</v>
      </c>
      <c r="AD30" s="12">
        <v>144631.52000000002</v>
      </c>
      <c r="AE30" s="12">
        <v>145762.74000000005</v>
      </c>
      <c r="AF30" s="12">
        <v>142986.07000000012</v>
      </c>
      <c r="AG30" s="12">
        <v>143177.16000000009</v>
      </c>
      <c r="AH30" s="12">
        <v>135920.70000000007</v>
      </c>
      <c r="AI30" s="12">
        <v>130694.45999999996</v>
      </c>
      <c r="AJ30" s="12">
        <v>145475.44000000006</v>
      </c>
      <c r="AK30" s="12">
        <v>133180.60999999993</v>
      </c>
      <c r="AL30" s="12">
        <v>117201.2100000002</v>
      </c>
      <c r="AM30" s="12">
        <v>122398.93</v>
      </c>
      <c r="AN30" s="12">
        <v>123939.95999999996</v>
      </c>
      <c r="AO30" s="12">
        <v>152689.50000000006</v>
      </c>
      <c r="AP30" s="12">
        <v>124670.22999999998</v>
      </c>
      <c r="AQ30" s="12">
        <v>129008.77000000008</v>
      </c>
      <c r="AR30" s="12">
        <v>125792.75</v>
      </c>
      <c r="AS30" s="12">
        <v>-82748.559999999969</v>
      </c>
      <c r="AT30" s="12">
        <v>-77049.88</v>
      </c>
      <c r="AU30" s="12">
        <v>-72387.729999999952</v>
      </c>
      <c r="AV30" s="12">
        <v>-83007.849999999977</v>
      </c>
      <c r="AW30" s="12">
        <v>-71043.510000000038</v>
      </c>
      <c r="AX30" s="12">
        <v>52719.189999999944</v>
      </c>
      <c r="AY30" s="12">
        <v>34875.609999999928</v>
      </c>
      <c r="AZ30" s="12">
        <v>47595</v>
      </c>
      <c r="BA30" s="12">
        <v>39224.909999999974</v>
      </c>
      <c r="BB30" s="12">
        <v>41790.440000000061</v>
      </c>
      <c r="BC30" s="12">
        <v>46729.02999999997</v>
      </c>
      <c r="BD30" s="12">
        <v>44127.759999999951</v>
      </c>
      <c r="BE30" s="12">
        <v>44392.369999999995</v>
      </c>
      <c r="BF30" s="12">
        <v>36863.609999999986</v>
      </c>
      <c r="BG30" s="12">
        <v>46176.930000000051</v>
      </c>
      <c r="BH30" s="12">
        <v>41333.959999999963</v>
      </c>
      <c r="BI30" s="12">
        <v>34326.69</v>
      </c>
      <c r="BJ30" s="12">
        <v>44631.539999999979</v>
      </c>
      <c r="BK30" s="12">
        <v>40727.080000000016</v>
      </c>
      <c r="BL30" s="12">
        <v>39313.409999999974</v>
      </c>
      <c r="BM30" s="12">
        <v>35385.710000000079</v>
      </c>
      <c r="BN30" s="12">
        <v>42536.309999999939</v>
      </c>
      <c r="BO30" s="12">
        <v>40238.959999999963</v>
      </c>
      <c r="BP30" s="12">
        <v>41901.01999999996</v>
      </c>
      <c r="BQ30" s="12">
        <v>48857.929999999935</v>
      </c>
      <c r="BR30" s="12">
        <v>39874.450000000012</v>
      </c>
      <c r="BS30" s="12">
        <v>43628.440000000061</v>
      </c>
      <c r="BT30" s="12">
        <v>43863.579999999842</v>
      </c>
      <c r="BU30" s="12">
        <v>37508.969999999979</v>
      </c>
      <c r="BV30" s="12">
        <v>60605.70000000007</v>
      </c>
      <c r="BW30" s="12">
        <v>41838.600000000151</v>
      </c>
      <c r="BX30" s="12">
        <v>51471.450000000012</v>
      </c>
      <c r="BY30" s="12">
        <v>45687.5</v>
      </c>
      <c r="BZ30" s="12">
        <v>47960.160000000033</v>
      </c>
      <c r="CA30" s="18"/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</row>
    <row r="31" spans="1:97" x14ac:dyDescent="0.3">
      <c r="A31" s="4"/>
      <c r="CA31" s="24"/>
    </row>
    <row r="32" spans="1:97" x14ac:dyDescent="0.3">
      <c r="A32" s="6" t="s">
        <v>11</v>
      </c>
      <c r="B32" s="13">
        <f>SUM(B25:B31)</f>
        <v>456179.7</v>
      </c>
      <c r="C32" s="13">
        <f t="shared" ref="C32:BN32" si="22">SUM(C25:C31)</f>
        <v>465945.16</v>
      </c>
      <c r="D32" s="13">
        <f t="shared" si="22"/>
        <v>523022.92000000004</v>
      </c>
      <c r="E32" s="13">
        <f t="shared" si="22"/>
        <v>553332.98000000033</v>
      </c>
      <c r="F32" s="13">
        <f t="shared" si="22"/>
        <v>505740.41999999993</v>
      </c>
      <c r="G32" s="13">
        <f t="shared" si="22"/>
        <v>521792.08</v>
      </c>
      <c r="H32" s="13">
        <f t="shared" si="22"/>
        <v>549117.73</v>
      </c>
      <c r="I32" s="13">
        <f t="shared" si="22"/>
        <v>555457.02999999991</v>
      </c>
      <c r="J32" s="13">
        <f t="shared" si="22"/>
        <v>561910.40999999992</v>
      </c>
      <c r="K32" s="13">
        <f t="shared" si="22"/>
        <v>581270.80000000005</v>
      </c>
      <c r="L32" s="13">
        <f t="shared" si="22"/>
        <v>535955.01</v>
      </c>
      <c r="M32" s="13">
        <f t="shared" si="22"/>
        <v>139006.04000000004</v>
      </c>
      <c r="N32" s="13">
        <f t="shared" si="22"/>
        <v>502561.44</v>
      </c>
      <c r="O32" s="13">
        <f t="shared" si="22"/>
        <v>518149.78999999992</v>
      </c>
      <c r="P32" s="13">
        <f t="shared" si="22"/>
        <v>507017.74</v>
      </c>
      <c r="Q32" s="13">
        <f t="shared" si="22"/>
        <v>466798.67</v>
      </c>
      <c r="R32" s="13">
        <f t="shared" si="22"/>
        <v>392316.28999999992</v>
      </c>
      <c r="S32" s="13">
        <f t="shared" si="22"/>
        <v>432686.48999999987</v>
      </c>
      <c r="T32" s="13">
        <f t="shared" si="22"/>
        <v>429814.56999999989</v>
      </c>
      <c r="U32" s="13">
        <f t="shared" si="22"/>
        <v>425660.31999999995</v>
      </c>
      <c r="V32" s="13">
        <f t="shared" si="22"/>
        <v>460451.07</v>
      </c>
      <c r="W32" s="13">
        <f t="shared" si="22"/>
        <v>443111.84999999992</v>
      </c>
      <c r="X32" s="13">
        <f t="shared" si="22"/>
        <v>452800.45000000013</v>
      </c>
      <c r="Y32" s="13">
        <f t="shared" si="22"/>
        <v>-139842.04000000004</v>
      </c>
      <c r="Z32" s="13">
        <f t="shared" si="22"/>
        <v>492725.37000000005</v>
      </c>
      <c r="AA32" s="13">
        <f t="shared" si="22"/>
        <v>474261.63000000006</v>
      </c>
      <c r="AB32" s="13">
        <f t="shared" si="22"/>
        <v>481304.25999999995</v>
      </c>
      <c r="AC32" s="13">
        <f t="shared" si="22"/>
        <v>456736.26</v>
      </c>
      <c r="AD32" s="13">
        <f t="shared" si="22"/>
        <v>489366.02</v>
      </c>
      <c r="AE32" s="13">
        <f t="shared" si="22"/>
        <v>494673.82</v>
      </c>
      <c r="AF32" s="13">
        <f t="shared" si="22"/>
        <v>495233.5500000001</v>
      </c>
      <c r="AG32" s="13">
        <f t="shared" si="22"/>
        <v>513602.80000000005</v>
      </c>
      <c r="AH32" s="13">
        <f t="shared" si="22"/>
        <v>497971.21</v>
      </c>
      <c r="AI32" s="13">
        <f t="shared" si="22"/>
        <v>507359.04000000004</v>
      </c>
      <c r="AJ32" s="13">
        <f t="shared" si="22"/>
        <v>508945.65</v>
      </c>
      <c r="AK32" s="13">
        <f t="shared" si="22"/>
        <v>287083.89999999997</v>
      </c>
      <c r="AL32" s="13">
        <f t="shared" si="22"/>
        <v>481553.62000000011</v>
      </c>
      <c r="AM32" s="13">
        <f t="shared" si="22"/>
        <v>486631.69</v>
      </c>
      <c r="AN32" s="13">
        <f t="shared" si="22"/>
        <v>499372.72</v>
      </c>
      <c r="AO32" s="13">
        <f t="shared" si="22"/>
        <v>532665.22</v>
      </c>
      <c r="AP32" s="13">
        <f t="shared" si="22"/>
        <v>487068.77999999991</v>
      </c>
      <c r="AQ32" s="13">
        <f t="shared" si="22"/>
        <v>468074.67000000004</v>
      </c>
      <c r="AR32" s="13">
        <f t="shared" si="22"/>
        <v>446834.26999999996</v>
      </c>
      <c r="AS32" s="13">
        <f t="shared" si="22"/>
        <v>236204.54</v>
      </c>
      <c r="AT32" s="13">
        <f t="shared" si="22"/>
        <v>244725.39</v>
      </c>
      <c r="AU32" s="13">
        <f t="shared" si="22"/>
        <v>233546.93000000002</v>
      </c>
      <c r="AV32" s="13">
        <f t="shared" si="22"/>
        <v>216901.13</v>
      </c>
      <c r="AW32" s="13">
        <f t="shared" si="22"/>
        <v>-862.94000000000233</v>
      </c>
      <c r="AX32" s="13">
        <f t="shared" si="22"/>
        <v>365222.19999999995</v>
      </c>
      <c r="AY32" s="13">
        <f t="shared" si="22"/>
        <v>366432.84999999992</v>
      </c>
      <c r="AZ32" s="13">
        <f t="shared" si="22"/>
        <v>364886.92</v>
      </c>
      <c r="BA32" s="13">
        <f t="shared" si="22"/>
        <v>336818.55999999994</v>
      </c>
      <c r="BB32" s="13">
        <f t="shared" si="22"/>
        <v>359693.23000000004</v>
      </c>
      <c r="BC32" s="13">
        <f t="shared" si="22"/>
        <v>356629.1</v>
      </c>
      <c r="BD32" s="13">
        <f t="shared" si="22"/>
        <v>338403.9599999999</v>
      </c>
      <c r="BE32" s="13">
        <f t="shared" si="22"/>
        <v>341836.00999999995</v>
      </c>
      <c r="BF32" s="13">
        <f t="shared" si="22"/>
        <v>331163.9599999999</v>
      </c>
      <c r="BG32" s="13">
        <f t="shared" si="22"/>
        <v>307904.27</v>
      </c>
      <c r="BH32" s="13">
        <f t="shared" si="22"/>
        <v>338630.85</v>
      </c>
      <c r="BI32" s="13">
        <f t="shared" si="22"/>
        <v>173942.08000000002</v>
      </c>
      <c r="BJ32" s="13">
        <f t="shared" si="22"/>
        <v>355957.44</v>
      </c>
      <c r="BK32" s="13">
        <f t="shared" si="22"/>
        <v>350942.16000000003</v>
      </c>
      <c r="BL32" s="13">
        <f t="shared" si="22"/>
        <v>347322.48000000004</v>
      </c>
      <c r="BM32" s="13">
        <f t="shared" si="22"/>
        <v>337191.7900000001</v>
      </c>
      <c r="BN32" s="13">
        <f t="shared" si="22"/>
        <v>337038.08999999997</v>
      </c>
      <c r="BO32" s="13">
        <f t="shared" ref="BO32:BZ32" si="23">SUM(BO25:BO31)</f>
        <v>338946.32999999996</v>
      </c>
      <c r="BP32" s="13">
        <f t="shared" si="23"/>
        <v>346131.88</v>
      </c>
      <c r="BQ32" s="13">
        <f t="shared" si="23"/>
        <v>361486.93</v>
      </c>
      <c r="BR32" s="13">
        <f t="shared" si="23"/>
        <v>326611.14</v>
      </c>
      <c r="BS32" s="13">
        <f t="shared" si="23"/>
        <v>326725.77000000008</v>
      </c>
      <c r="BT32" s="13">
        <f t="shared" si="23"/>
        <v>363909.66999999993</v>
      </c>
      <c r="BU32" s="13">
        <f t="shared" si="23"/>
        <v>89075.739999999976</v>
      </c>
      <c r="BV32" s="13">
        <f t="shared" si="23"/>
        <v>385728.59</v>
      </c>
      <c r="BW32" s="13">
        <f t="shared" si="23"/>
        <v>347917.31000000011</v>
      </c>
      <c r="BX32" s="13">
        <f t="shared" si="23"/>
        <v>364915.66000000003</v>
      </c>
      <c r="BY32" s="13">
        <f t="shared" si="23"/>
        <v>366307.55</v>
      </c>
      <c r="BZ32" s="13">
        <f t="shared" si="23"/>
        <v>368048.87000000005</v>
      </c>
      <c r="CA32" s="25"/>
      <c r="CB32" s="13"/>
      <c r="CC32" s="13"/>
      <c r="CD32" s="13"/>
      <c r="CE32" s="13"/>
      <c r="CF32" s="13"/>
      <c r="CG32" s="13"/>
      <c r="CH32" s="17">
        <v>363408</v>
      </c>
      <c r="CI32" s="17">
        <v>363408</v>
      </c>
      <c r="CJ32" s="17">
        <v>363408</v>
      </c>
      <c r="CK32" s="17">
        <v>363408</v>
      </c>
      <c r="CL32" s="17">
        <v>363408</v>
      </c>
      <c r="CM32" s="17">
        <v>363408</v>
      </c>
      <c r="CN32" s="17">
        <v>363408</v>
      </c>
      <c r="CO32" s="17">
        <v>363408</v>
      </c>
      <c r="CP32" s="17">
        <v>363408</v>
      </c>
      <c r="CQ32" s="17">
        <v>363408</v>
      </c>
      <c r="CR32" s="17">
        <v>363408</v>
      </c>
      <c r="CS32" s="17">
        <v>363408</v>
      </c>
    </row>
    <row r="33" spans="1:97" x14ac:dyDescent="0.3">
      <c r="A33" s="6" t="s">
        <v>12</v>
      </c>
      <c r="B33" s="1">
        <v>351836.19</v>
      </c>
      <c r="C33" s="1">
        <v>370774</v>
      </c>
      <c r="D33" s="1">
        <v>475176.76</v>
      </c>
      <c r="E33" s="1">
        <v>554580.74</v>
      </c>
      <c r="F33" s="1">
        <v>527629</v>
      </c>
      <c r="G33" s="1">
        <v>435135.24</v>
      </c>
      <c r="H33" s="1">
        <v>457454.07999999996</v>
      </c>
      <c r="I33" s="1">
        <v>425726.52999999997</v>
      </c>
      <c r="J33" s="1">
        <v>490835.52</v>
      </c>
      <c r="K33" s="1">
        <v>440441.96</v>
      </c>
      <c r="L33" s="1">
        <v>466583.78</v>
      </c>
      <c r="M33" s="1">
        <v>215338.03</v>
      </c>
      <c r="N33" s="1">
        <v>421944.41</v>
      </c>
      <c r="O33" s="1">
        <v>524236.37</v>
      </c>
      <c r="P33" s="1">
        <v>691140.36</v>
      </c>
      <c r="Q33" s="1">
        <v>584199.21</v>
      </c>
      <c r="R33" s="1">
        <v>576223.32999999996</v>
      </c>
      <c r="S33" s="1">
        <v>567007.05000000005</v>
      </c>
      <c r="T33" s="1">
        <v>585459.93999999994</v>
      </c>
      <c r="U33" s="1">
        <v>577113.78</v>
      </c>
      <c r="V33" s="1">
        <v>402837.08</v>
      </c>
      <c r="W33" s="1">
        <v>437906.69</v>
      </c>
      <c r="X33" s="1">
        <v>481659.45999999996</v>
      </c>
      <c r="Y33" s="1">
        <v>492933.79000000004</v>
      </c>
      <c r="Z33" s="1">
        <v>416291</v>
      </c>
      <c r="AA33" s="1">
        <v>426403.92000000004</v>
      </c>
      <c r="AB33" s="1">
        <v>467915.75</v>
      </c>
      <c r="AC33" s="1">
        <v>319024</v>
      </c>
      <c r="AD33" s="1">
        <v>371164</v>
      </c>
      <c r="AE33" s="1">
        <v>475548.11</v>
      </c>
      <c r="AF33" s="1">
        <v>358973.44000000006</v>
      </c>
      <c r="AG33" s="1">
        <v>441894.38</v>
      </c>
      <c r="AH33" s="1">
        <v>598510.89</v>
      </c>
      <c r="AI33" s="1">
        <v>642226.86</v>
      </c>
      <c r="AJ33" s="1">
        <v>538788.45000000007</v>
      </c>
      <c r="AK33" s="1">
        <v>620219.11</v>
      </c>
      <c r="AL33" s="1">
        <v>572543.98999999987</v>
      </c>
      <c r="AM33" s="1">
        <v>533451.22</v>
      </c>
      <c r="AN33" s="1">
        <v>602852.77</v>
      </c>
      <c r="AO33" s="1">
        <v>545601.23</v>
      </c>
      <c r="AP33" s="1">
        <v>604328.56999999995</v>
      </c>
      <c r="AQ33" s="1">
        <v>591086.82999999996</v>
      </c>
      <c r="AR33" s="1">
        <v>552929.26</v>
      </c>
      <c r="AS33" s="1">
        <v>710786.54</v>
      </c>
      <c r="AT33" s="1">
        <v>647522.52</v>
      </c>
      <c r="AU33" s="1">
        <v>654926.77</v>
      </c>
      <c r="AV33" s="1">
        <v>647357.92999999993</v>
      </c>
      <c r="AW33" s="1">
        <v>355890.68999999994</v>
      </c>
      <c r="AX33" s="1">
        <v>593276.47</v>
      </c>
      <c r="AY33" s="1">
        <v>581403.19999999995</v>
      </c>
      <c r="AZ33" s="1">
        <v>717612.54999999993</v>
      </c>
      <c r="BA33" s="1">
        <v>546551.57000000007</v>
      </c>
      <c r="BB33" s="1">
        <v>574064.4800000001</v>
      </c>
      <c r="BC33" s="1">
        <v>541121.35000000009</v>
      </c>
      <c r="BD33" s="1">
        <v>581165.52999999991</v>
      </c>
      <c r="BE33" s="1">
        <v>437974.64999999997</v>
      </c>
      <c r="BF33" s="1">
        <v>540113.30999999994</v>
      </c>
      <c r="BG33" s="1">
        <v>530622.71999999997</v>
      </c>
      <c r="BH33" s="1">
        <v>563227.26</v>
      </c>
      <c r="BI33" s="1">
        <v>249589.86000000002</v>
      </c>
      <c r="BJ33" s="1">
        <v>507796.80000000005</v>
      </c>
      <c r="BK33" s="1">
        <v>512233.79</v>
      </c>
      <c r="BL33" s="1">
        <v>489117.29000000004</v>
      </c>
      <c r="BM33" s="1">
        <v>515438.33999999997</v>
      </c>
      <c r="BN33" s="1">
        <v>493459.48</v>
      </c>
      <c r="BO33" s="1">
        <v>516621</v>
      </c>
      <c r="BP33" s="1">
        <v>542563.82999999996</v>
      </c>
      <c r="BQ33" s="1">
        <v>441750.62</v>
      </c>
      <c r="BR33" s="1">
        <v>507718.9</v>
      </c>
      <c r="BS33" s="1">
        <v>536555.39</v>
      </c>
      <c r="BT33" s="1">
        <v>476232.79000000004</v>
      </c>
      <c r="BU33" s="1">
        <v>524428.9</v>
      </c>
      <c r="BV33" s="1">
        <v>603604.24</v>
      </c>
      <c r="BW33" s="1">
        <v>536345.17000000004</v>
      </c>
      <c r="BX33" s="1">
        <v>673791.52</v>
      </c>
      <c r="BY33" s="1">
        <v>588806.59</v>
      </c>
      <c r="BZ33" s="12">
        <v>550274.52</v>
      </c>
      <c r="CA33" s="18"/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7">
        <v>655027</v>
      </c>
      <c r="CI33" s="17">
        <v>655027</v>
      </c>
      <c r="CJ33" s="17">
        <v>655027</v>
      </c>
      <c r="CK33" s="17">
        <v>655027</v>
      </c>
      <c r="CL33" s="17">
        <v>655027</v>
      </c>
      <c r="CM33" s="17">
        <v>655027</v>
      </c>
      <c r="CN33" s="17">
        <v>655027</v>
      </c>
      <c r="CO33" s="17">
        <v>655027</v>
      </c>
      <c r="CP33" s="17">
        <v>655027</v>
      </c>
      <c r="CQ33" s="17">
        <v>655027</v>
      </c>
      <c r="CR33" s="17">
        <v>655027</v>
      </c>
      <c r="CS33" s="17">
        <v>655027</v>
      </c>
    </row>
    <row r="34" spans="1:97" x14ac:dyDescent="0.3">
      <c r="A34" s="4"/>
      <c r="CA34" s="18"/>
    </row>
    <row r="35" spans="1:97" x14ac:dyDescent="0.3">
      <c r="A35" s="4" t="s">
        <v>35</v>
      </c>
      <c r="B35" s="12">
        <v>60151.08</v>
      </c>
      <c r="C35" s="12">
        <v>59161.33</v>
      </c>
      <c r="D35" s="12">
        <v>58722.880000000005</v>
      </c>
      <c r="E35" s="12">
        <v>54878.1</v>
      </c>
      <c r="F35" s="12">
        <v>58091.590000000004</v>
      </c>
      <c r="G35" s="12">
        <v>60643.590000000004</v>
      </c>
      <c r="H35" s="12">
        <v>60643.590000000004</v>
      </c>
      <c r="I35" s="12">
        <v>35689.300000000003</v>
      </c>
      <c r="J35" s="12">
        <v>60945.48</v>
      </c>
      <c r="K35" s="12">
        <v>62300.480000000003</v>
      </c>
      <c r="L35" s="12">
        <v>58968.23</v>
      </c>
      <c r="M35" s="12">
        <v>50090.600000000006</v>
      </c>
      <c r="N35" s="12">
        <v>59534.86</v>
      </c>
      <c r="O35" s="12">
        <v>59045.719999999994</v>
      </c>
      <c r="P35" s="12">
        <v>64073.85</v>
      </c>
      <c r="Q35" s="12">
        <v>64168.85</v>
      </c>
      <c r="R35" s="12">
        <v>50356.729999999996</v>
      </c>
      <c r="S35" s="12">
        <v>33163.93</v>
      </c>
      <c r="T35" s="12">
        <v>48968.39</v>
      </c>
      <c r="U35" s="12">
        <v>49103.51</v>
      </c>
      <c r="V35" s="12">
        <v>62275.51</v>
      </c>
      <c r="W35" s="12">
        <v>62275.51</v>
      </c>
      <c r="X35" s="12">
        <v>64275.51</v>
      </c>
      <c r="Y35" s="12">
        <v>80688.87</v>
      </c>
      <c r="Z35" s="12">
        <v>58635.01</v>
      </c>
      <c r="AA35" s="12">
        <v>57798.01</v>
      </c>
      <c r="AB35" s="12">
        <v>58670.76</v>
      </c>
      <c r="AC35" s="12">
        <v>61395.51</v>
      </c>
      <c r="AD35" s="12">
        <v>62935.51</v>
      </c>
      <c r="AE35" s="12">
        <v>61802.02</v>
      </c>
      <c r="AF35" s="12">
        <v>61802.02</v>
      </c>
      <c r="AG35" s="12">
        <v>60510.51</v>
      </c>
      <c r="AH35" s="12">
        <v>62935.51</v>
      </c>
      <c r="AI35" s="12">
        <v>62316.68</v>
      </c>
      <c r="AJ35" s="12">
        <v>60178.51</v>
      </c>
      <c r="AK35" s="12">
        <v>64806.73</v>
      </c>
      <c r="AL35" s="12">
        <v>60898.51</v>
      </c>
      <c r="AM35" s="12">
        <v>60985.51</v>
      </c>
      <c r="AN35" s="12">
        <v>66136.460000000006</v>
      </c>
      <c r="AO35" s="12">
        <v>59346.460000000006</v>
      </c>
      <c r="AP35" s="12">
        <v>63726.460000000006</v>
      </c>
      <c r="AQ35" s="12">
        <v>63486.710000000006</v>
      </c>
      <c r="AR35" s="12">
        <v>63486.710000000006</v>
      </c>
      <c r="AS35" s="12">
        <v>47090.42</v>
      </c>
      <c r="AT35" s="12">
        <v>61924.37</v>
      </c>
      <c r="AU35" s="12">
        <v>64284.770000000004</v>
      </c>
      <c r="AV35" s="12">
        <v>64425.960000000006</v>
      </c>
      <c r="AW35" s="12">
        <v>47304.010000000009</v>
      </c>
      <c r="AX35" s="12">
        <v>58087.81</v>
      </c>
      <c r="AY35" s="12">
        <v>58766.22</v>
      </c>
      <c r="AZ35" s="12">
        <v>58430.47</v>
      </c>
      <c r="BA35" s="12">
        <v>59101.47</v>
      </c>
      <c r="BB35" s="12">
        <v>59101.47</v>
      </c>
      <c r="BC35" s="12">
        <v>59097.22</v>
      </c>
      <c r="BD35" s="12">
        <v>53571.64</v>
      </c>
      <c r="BE35" s="12">
        <v>50816.2</v>
      </c>
      <c r="BF35" s="12">
        <v>57486.799999999996</v>
      </c>
      <c r="BG35" s="12">
        <v>56984.08</v>
      </c>
      <c r="BH35" s="12">
        <v>56984.08</v>
      </c>
      <c r="BI35" s="12">
        <v>61363.689999999995</v>
      </c>
      <c r="BJ35" s="12">
        <v>56635</v>
      </c>
      <c r="BK35" s="12">
        <v>59169.91</v>
      </c>
      <c r="BL35" s="12">
        <v>59639.5</v>
      </c>
      <c r="BM35" s="12">
        <v>59639.5</v>
      </c>
      <c r="BN35" s="12">
        <v>59228.67</v>
      </c>
      <c r="BO35" s="12">
        <v>58955.740000000005</v>
      </c>
      <c r="BP35" s="12">
        <v>58955.740000000005</v>
      </c>
      <c r="BQ35" s="12">
        <v>57685.84</v>
      </c>
      <c r="BR35" s="12">
        <v>59102.84</v>
      </c>
      <c r="BS35" s="12">
        <v>59640</v>
      </c>
      <c r="BT35" s="12">
        <v>57869.58</v>
      </c>
      <c r="BU35" s="12">
        <v>55132.12</v>
      </c>
      <c r="BV35" s="12">
        <v>59764.5</v>
      </c>
      <c r="BW35" s="12">
        <v>59397.42</v>
      </c>
      <c r="BX35" s="12">
        <v>59737.42</v>
      </c>
      <c r="BY35" s="12">
        <v>58210.33</v>
      </c>
      <c r="BZ35" s="12">
        <v>55375.33</v>
      </c>
      <c r="CA35" s="18"/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</row>
    <row r="36" spans="1:97" x14ac:dyDescent="0.3">
      <c r="A36" s="4" t="s">
        <v>36</v>
      </c>
      <c r="B36" s="12">
        <v>19671.810000000001</v>
      </c>
      <c r="C36" s="12">
        <v>20445.71</v>
      </c>
      <c r="D36" s="12">
        <v>16507.36</v>
      </c>
      <c r="E36" s="12">
        <v>18828.099999999999</v>
      </c>
      <c r="F36" s="12">
        <v>21744.2</v>
      </c>
      <c r="G36" s="12">
        <v>16083.15</v>
      </c>
      <c r="H36" s="12">
        <v>14926.72</v>
      </c>
      <c r="I36" s="12">
        <v>16683.060000000001</v>
      </c>
      <c r="J36" s="12">
        <v>14442.96</v>
      </c>
      <c r="K36" s="12">
        <v>15019.87</v>
      </c>
      <c r="L36" s="12">
        <v>15083.63</v>
      </c>
      <c r="M36" s="12">
        <v>12031.76</v>
      </c>
      <c r="N36" s="12">
        <v>15173.28</v>
      </c>
      <c r="O36" s="12">
        <v>7546.13</v>
      </c>
      <c r="P36" s="12">
        <v>11842.23</v>
      </c>
      <c r="Q36" s="12">
        <v>14045.51</v>
      </c>
      <c r="R36" s="12">
        <v>13062.2</v>
      </c>
      <c r="S36" s="12">
        <v>12580.55</v>
      </c>
      <c r="T36" s="12">
        <v>13309.51</v>
      </c>
      <c r="U36" s="12">
        <v>12532.78</v>
      </c>
      <c r="V36" s="12">
        <v>13629.810000000001</v>
      </c>
      <c r="W36" s="12">
        <v>13380.7</v>
      </c>
      <c r="X36" s="12">
        <v>14104.03</v>
      </c>
      <c r="Y36" s="12">
        <v>12797.61</v>
      </c>
      <c r="Z36" s="12">
        <v>12362.52</v>
      </c>
      <c r="AA36" s="12">
        <v>12323.74</v>
      </c>
      <c r="AB36" s="12">
        <v>11320.92</v>
      </c>
      <c r="AC36" s="12">
        <v>16233.51</v>
      </c>
      <c r="AD36" s="12">
        <v>11107.8</v>
      </c>
      <c r="AE36" s="12">
        <v>10773.72</v>
      </c>
      <c r="AF36" s="12">
        <v>11262.72</v>
      </c>
      <c r="AG36" s="12">
        <v>10836.87</v>
      </c>
      <c r="AH36" s="12">
        <v>11073.56</v>
      </c>
      <c r="AI36" s="12">
        <v>11780.130000000001</v>
      </c>
      <c r="AJ36" s="12">
        <v>10970.82</v>
      </c>
      <c r="AK36" s="12">
        <v>11040.220000000001</v>
      </c>
      <c r="AL36" s="12">
        <v>11066.09</v>
      </c>
      <c r="AM36" s="12">
        <v>12178.14</v>
      </c>
      <c r="AN36" s="12">
        <v>10751.22</v>
      </c>
      <c r="AO36" s="12">
        <v>12361.59</v>
      </c>
      <c r="AP36" s="12">
        <v>11334</v>
      </c>
      <c r="AQ36" s="12">
        <v>11150.69</v>
      </c>
      <c r="AR36" s="12">
        <v>11681.75</v>
      </c>
      <c r="AS36" s="12">
        <v>11568.47</v>
      </c>
      <c r="AT36" s="12">
        <v>11024.39</v>
      </c>
      <c r="AU36" s="12">
        <v>11422.58</v>
      </c>
      <c r="AV36" s="12">
        <v>10809.86</v>
      </c>
      <c r="AW36" s="12">
        <v>11630.199999999999</v>
      </c>
      <c r="AX36" s="12">
        <v>10942.36</v>
      </c>
      <c r="AY36" s="12">
        <v>11257.19</v>
      </c>
      <c r="AZ36" s="12">
        <v>10480.620000000001</v>
      </c>
      <c r="BA36" s="12">
        <v>11818.42</v>
      </c>
      <c r="BB36" s="12">
        <v>10574.61</v>
      </c>
      <c r="BC36" s="12">
        <v>10867.51</v>
      </c>
      <c r="BD36" s="12">
        <v>11245.44</v>
      </c>
      <c r="BE36" s="12">
        <v>10813.849999999999</v>
      </c>
      <c r="BF36" s="12">
        <v>10885.84</v>
      </c>
      <c r="BG36" s="12">
        <v>11062.55</v>
      </c>
      <c r="BH36" s="12">
        <v>10336.630000000001</v>
      </c>
      <c r="BI36" s="12">
        <v>11424.03</v>
      </c>
      <c r="BJ36" s="12">
        <v>10993.52</v>
      </c>
      <c r="BK36" s="12">
        <v>11143.060000000001</v>
      </c>
      <c r="BL36" s="12">
        <v>10949.960000000001</v>
      </c>
      <c r="BM36" s="12">
        <v>11906.51</v>
      </c>
      <c r="BN36" s="12">
        <v>10463.18</v>
      </c>
      <c r="BO36" s="12">
        <v>11903.55</v>
      </c>
      <c r="BP36" s="12">
        <v>11349.61</v>
      </c>
      <c r="BQ36" s="12">
        <v>11546.57</v>
      </c>
      <c r="BR36" s="12">
        <v>11001.75</v>
      </c>
      <c r="BS36" s="12">
        <v>11299.31</v>
      </c>
      <c r="BT36" s="12">
        <v>8236.02</v>
      </c>
      <c r="BU36" s="12">
        <v>10499.97</v>
      </c>
      <c r="BV36" s="12">
        <v>9432.61</v>
      </c>
      <c r="BW36" s="12">
        <v>10279.77</v>
      </c>
      <c r="BX36" s="12">
        <v>9898.39</v>
      </c>
      <c r="BY36" s="12">
        <v>10482.799999999999</v>
      </c>
      <c r="BZ36" s="12">
        <v>9801.49</v>
      </c>
      <c r="CA36" s="18"/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</row>
    <row r="37" spans="1:97" x14ac:dyDescent="0.3">
      <c r="A37" s="4"/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8"/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</row>
    <row r="38" spans="1:97" x14ac:dyDescent="0.3">
      <c r="A38" s="4" t="s">
        <v>37</v>
      </c>
      <c r="B38" s="12">
        <v>235367.78999999998</v>
      </c>
      <c r="C38" s="12">
        <v>222702.87000000002</v>
      </c>
      <c r="D38" s="12">
        <v>221566.63</v>
      </c>
      <c r="E38" s="12">
        <v>223288.25</v>
      </c>
      <c r="F38" s="12">
        <v>237177.49000000002</v>
      </c>
      <c r="G38" s="12">
        <v>228952.29000000004</v>
      </c>
      <c r="H38" s="12">
        <v>237833.76</v>
      </c>
      <c r="I38" s="12">
        <v>223312.90000000002</v>
      </c>
      <c r="J38" s="12">
        <v>255981.51</v>
      </c>
      <c r="K38" s="12">
        <v>249100.53999999995</v>
      </c>
      <c r="L38" s="12">
        <v>246465.68000000005</v>
      </c>
      <c r="M38" s="12">
        <v>206481.75999999998</v>
      </c>
      <c r="N38" s="12">
        <v>241529.12999999995</v>
      </c>
      <c r="O38" s="12">
        <v>236835.05000000005</v>
      </c>
      <c r="P38" s="12">
        <v>223166.24</v>
      </c>
      <c r="Q38" s="12">
        <v>240131.47999999998</v>
      </c>
      <c r="R38" s="12">
        <v>218823.17000000004</v>
      </c>
      <c r="S38" s="12">
        <v>232326.47999999998</v>
      </c>
      <c r="T38" s="12">
        <v>229791.68000000002</v>
      </c>
      <c r="U38" s="12">
        <v>231575.77000000005</v>
      </c>
      <c r="V38" s="12">
        <v>244266.47999999998</v>
      </c>
      <c r="W38" s="12">
        <v>227405.44</v>
      </c>
      <c r="X38" s="12">
        <v>228962.16</v>
      </c>
      <c r="Y38" s="12">
        <v>123658.71999999999</v>
      </c>
      <c r="Z38" s="12">
        <v>221923.61000000002</v>
      </c>
      <c r="AA38" s="12">
        <v>221100.59999999998</v>
      </c>
      <c r="AB38" s="12">
        <v>232963.94</v>
      </c>
      <c r="AC38" s="12">
        <v>212355.44999999995</v>
      </c>
      <c r="AD38" s="12">
        <v>233722.44</v>
      </c>
      <c r="AE38" s="12">
        <v>232993.18</v>
      </c>
      <c r="AF38" s="12">
        <v>232316.76</v>
      </c>
      <c r="AG38" s="12">
        <v>228375.91000000003</v>
      </c>
      <c r="AH38" s="12">
        <v>218257.52000000002</v>
      </c>
      <c r="AI38" s="12">
        <v>243830.73000000004</v>
      </c>
      <c r="AJ38" s="12">
        <v>249530.84999999998</v>
      </c>
      <c r="AK38" s="12">
        <v>47930.470000000016</v>
      </c>
      <c r="AL38" s="12">
        <v>213439.80000000002</v>
      </c>
      <c r="AM38" s="12">
        <v>210076.94999999998</v>
      </c>
      <c r="AN38" s="12">
        <v>238184.77000000002</v>
      </c>
      <c r="AO38" s="12">
        <v>263921.13</v>
      </c>
      <c r="AP38" s="12">
        <v>250340.66000000003</v>
      </c>
      <c r="AQ38" s="12">
        <v>249416.3</v>
      </c>
      <c r="AR38" s="12">
        <v>263105.95999999996</v>
      </c>
      <c r="AS38" s="12">
        <v>199902.45</v>
      </c>
      <c r="AT38" s="12">
        <v>231073.71999999997</v>
      </c>
      <c r="AU38" s="12">
        <v>236928.75999999992</v>
      </c>
      <c r="AV38" s="12">
        <v>256132.93999999994</v>
      </c>
      <c r="AW38" s="12">
        <v>151441.34999999998</v>
      </c>
      <c r="AX38" s="12">
        <v>233629.78999999998</v>
      </c>
      <c r="AY38" s="12">
        <v>218606.39000000004</v>
      </c>
      <c r="AZ38" s="12">
        <v>223201.6</v>
      </c>
      <c r="BA38" s="12">
        <v>227232.82</v>
      </c>
      <c r="BB38" s="12">
        <v>223016.57999999996</v>
      </c>
      <c r="BC38" s="12">
        <v>233779.78000000003</v>
      </c>
      <c r="BD38" s="12">
        <v>227843.61999999994</v>
      </c>
      <c r="BE38" s="12">
        <v>245682</v>
      </c>
      <c r="BF38" s="12">
        <v>255806.77000000002</v>
      </c>
      <c r="BG38" s="12">
        <v>270079.19</v>
      </c>
      <c r="BH38" s="12">
        <v>281494.16000000003</v>
      </c>
      <c r="BI38" s="12">
        <v>266539</v>
      </c>
      <c r="BJ38" s="12">
        <v>262270.11</v>
      </c>
      <c r="BK38" s="12">
        <v>256550.25000000003</v>
      </c>
      <c r="BL38" s="12">
        <v>271773.02</v>
      </c>
      <c r="BM38" s="12">
        <v>254644.5</v>
      </c>
      <c r="BN38" s="12">
        <v>287856.52</v>
      </c>
      <c r="BO38" s="12">
        <v>273388.17000000004</v>
      </c>
      <c r="BP38" s="12">
        <v>251185.92000000007</v>
      </c>
      <c r="BQ38" s="12">
        <v>265996.02</v>
      </c>
      <c r="BR38" s="12">
        <v>290999.36</v>
      </c>
      <c r="BS38" s="12">
        <v>270008.25999999995</v>
      </c>
      <c r="BT38" s="12">
        <v>262114.15999999995</v>
      </c>
      <c r="BU38" s="12">
        <v>106509.57000000004</v>
      </c>
      <c r="BV38" s="12">
        <v>306350.46000000002</v>
      </c>
      <c r="BW38" s="12">
        <v>288893.42000000004</v>
      </c>
      <c r="BX38" s="12">
        <v>309229.20999999996</v>
      </c>
      <c r="BY38" s="12">
        <v>271071.26</v>
      </c>
      <c r="BZ38" s="12">
        <v>284818.63</v>
      </c>
      <c r="CA38" s="18"/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</row>
    <row r="39" spans="1:97" x14ac:dyDescent="0.3">
      <c r="A39" s="4" t="s">
        <v>38</v>
      </c>
      <c r="B39" s="14">
        <f>B35+B36</f>
        <v>79822.89</v>
      </c>
      <c r="C39" s="14">
        <f t="shared" ref="C39:BN39" si="24">C35+C36</f>
        <v>79607.040000000008</v>
      </c>
      <c r="D39" s="14">
        <f t="shared" si="24"/>
        <v>75230.240000000005</v>
      </c>
      <c r="E39" s="14">
        <f t="shared" si="24"/>
        <v>73706.2</v>
      </c>
      <c r="F39" s="14">
        <f t="shared" si="24"/>
        <v>79835.790000000008</v>
      </c>
      <c r="G39" s="14">
        <f t="shared" si="24"/>
        <v>76726.740000000005</v>
      </c>
      <c r="H39" s="14">
        <f t="shared" si="24"/>
        <v>75570.31</v>
      </c>
      <c r="I39" s="14">
        <f t="shared" si="24"/>
        <v>52372.36</v>
      </c>
      <c r="J39" s="14">
        <f t="shared" si="24"/>
        <v>75388.44</v>
      </c>
      <c r="K39" s="14">
        <f t="shared" si="24"/>
        <v>77320.350000000006</v>
      </c>
      <c r="L39" s="14">
        <f t="shared" si="24"/>
        <v>74051.86</v>
      </c>
      <c r="M39" s="14">
        <f t="shared" si="24"/>
        <v>62122.360000000008</v>
      </c>
      <c r="N39" s="14">
        <f t="shared" si="24"/>
        <v>74708.14</v>
      </c>
      <c r="O39" s="14">
        <f t="shared" si="24"/>
        <v>66591.849999999991</v>
      </c>
      <c r="P39" s="14">
        <f t="shared" si="24"/>
        <v>75916.08</v>
      </c>
      <c r="Q39" s="14">
        <f t="shared" si="24"/>
        <v>78214.36</v>
      </c>
      <c r="R39" s="14">
        <f t="shared" si="24"/>
        <v>63418.929999999993</v>
      </c>
      <c r="S39" s="14">
        <f t="shared" si="24"/>
        <v>45744.479999999996</v>
      </c>
      <c r="T39" s="14">
        <f t="shared" si="24"/>
        <v>62277.9</v>
      </c>
      <c r="U39" s="14">
        <f t="shared" si="24"/>
        <v>61636.29</v>
      </c>
      <c r="V39" s="14">
        <f t="shared" si="24"/>
        <v>75905.320000000007</v>
      </c>
      <c r="W39" s="14">
        <f t="shared" si="24"/>
        <v>75656.210000000006</v>
      </c>
      <c r="X39" s="14">
        <f t="shared" si="24"/>
        <v>78379.540000000008</v>
      </c>
      <c r="Y39" s="14">
        <f t="shared" si="24"/>
        <v>93486.48</v>
      </c>
      <c r="Z39" s="14">
        <f t="shared" si="24"/>
        <v>70997.53</v>
      </c>
      <c r="AA39" s="14">
        <f t="shared" si="24"/>
        <v>70121.75</v>
      </c>
      <c r="AB39" s="14">
        <f t="shared" si="24"/>
        <v>69991.680000000008</v>
      </c>
      <c r="AC39" s="14">
        <f t="shared" si="24"/>
        <v>77629.02</v>
      </c>
      <c r="AD39" s="14">
        <f t="shared" si="24"/>
        <v>74043.31</v>
      </c>
      <c r="AE39" s="14">
        <f t="shared" si="24"/>
        <v>72575.739999999991</v>
      </c>
      <c r="AF39" s="14">
        <f t="shared" si="24"/>
        <v>73064.739999999991</v>
      </c>
      <c r="AG39" s="14">
        <f t="shared" si="24"/>
        <v>71347.38</v>
      </c>
      <c r="AH39" s="14">
        <f t="shared" si="24"/>
        <v>74009.070000000007</v>
      </c>
      <c r="AI39" s="14">
        <f t="shared" si="24"/>
        <v>74096.81</v>
      </c>
      <c r="AJ39" s="14">
        <f t="shared" si="24"/>
        <v>71149.33</v>
      </c>
      <c r="AK39" s="14">
        <f t="shared" si="24"/>
        <v>75846.950000000012</v>
      </c>
      <c r="AL39" s="14">
        <f t="shared" si="24"/>
        <v>71964.600000000006</v>
      </c>
      <c r="AM39" s="14">
        <f t="shared" si="24"/>
        <v>73163.649999999994</v>
      </c>
      <c r="AN39" s="14">
        <f t="shared" si="24"/>
        <v>76887.680000000008</v>
      </c>
      <c r="AO39" s="14">
        <f t="shared" si="24"/>
        <v>71708.05</v>
      </c>
      <c r="AP39" s="14">
        <f t="shared" si="24"/>
        <v>75060.460000000006</v>
      </c>
      <c r="AQ39" s="14">
        <f t="shared" si="24"/>
        <v>74637.400000000009</v>
      </c>
      <c r="AR39" s="14">
        <f t="shared" si="24"/>
        <v>75168.460000000006</v>
      </c>
      <c r="AS39" s="14">
        <f t="shared" si="24"/>
        <v>58658.89</v>
      </c>
      <c r="AT39" s="14">
        <f t="shared" si="24"/>
        <v>72948.760000000009</v>
      </c>
      <c r="AU39" s="14">
        <f t="shared" si="24"/>
        <v>75707.350000000006</v>
      </c>
      <c r="AV39" s="14">
        <f t="shared" si="24"/>
        <v>75235.820000000007</v>
      </c>
      <c r="AW39" s="14">
        <f t="shared" si="24"/>
        <v>58934.210000000006</v>
      </c>
      <c r="AX39" s="14">
        <f t="shared" si="24"/>
        <v>69030.17</v>
      </c>
      <c r="AY39" s="14">
        <f t="shared" si="24"/>
        <v>70023.41</v>
      </c>
      <c r="AZ39" s="14">
        <f t="shared" si="24"/>
        <v>68911.09</v>
      </c>
      <c r="BA39" s="14">
        <f t="shared" si="24"/>
        <v>70919.89</v>
      </c>
      <c r="BB39" s="14">
        <f t="shared" si="24"/>
        <v>69676.08</v>
      </c>
      <c r="BC39" s="14">
        <f t="shared" si="24"/>
        <v>69964.73</v>
      </c>
      <c r="BD39" s="14">
        <f t="shared" si="24"/>
        <v>64817.08</v>
      </c>
      <c r="BE39" s="14">
        <f t="shared" si="24"/>
        <v>61630.049999999996</v>
      </c>
      <c r="BF39" s="14">
        <f t="shared" si="24"/>
        <v>68372.639999999999</v>
      </c>
      <c r="BG39" s="14">
        <f t="shared" si="24"/>
        <v>68046.63</v>
      </c>
      <c r="BH39" s="14">
        <f t="shared" si="24"/>
        <v>67320.710000000006</v>
      </c>
      <c r="BI39" s="14">
        <f t="shared" si="24"/>
        <v>72787.72</v>
      </c>
      <c r="BJ39" s="14">
        <f t="shared" si="24"/>
        <v>67628.52</v>
      </c>
      <c r="BK39" s="14">
        <f t="shared" si="24"/>
        <v>70312.97</v>
      </c>
      <c r="BL39" s="14">
        <f t="shared" si="24"/>
        <v>70589.460000000006</v>
      </c>
      <c r="BM39" s="14">
        <f t="shared" si="24"/>
        <v>71546.009999999995</v>
      </c>
      <c r="BN39" s="14">
        <f t="shared" si="24"/>
        <v>69691.850000000006</v>
      </c>
      <c r="BO39" s="14">
        <f t="shared" ref="BO39:CS39" si="25">BO35+BO36</f>
        <v>70859.290000000008</v>
      </c>
      <c r="BP39" s="14">
        <f t="shared" si="25"/>
        <v>70305.350000000006</v>
      </c>
      <c r="BQ39" s="14">
        <f t="shared" si="25"/>
        <v>69232.41</v>
      </c>
      <c r="BR39" s="14">
        <f t="shared" si="25"/>
        <v>70104.59</v>
      </c>
      <c r="BS39" s="14">
        <f t="shared" si="25"/>
        <v>70939.31</v>
      </c>
      <c r="BT39" s="14">
        <f t="shared" si="25"/>
        <v>66105.600000000006</v>
      </c>
      <c r="BU39" s="14">
        <f t="shared" si="25"/>
        <v>65632.09</v>
      </c>
      <c r="BV39" s="14">
        <f t="shared" si="25"/>
        <v>69197.11</v>
      </c>
      <c r="BW39" s="14">
        <f t="shared" si="25"/>
        <v>69677.19</v>
      </c>
      <c r="BX39" s="14">
        <f t="shared" si="25"/>
        <v>69635.81</v>
      </c>
      <c r="BY39" s="14">
        <f t="shared" si="25"/>
        <v>68693.13</v>
      </c>
      <c r="BZ39" s="14">
        <v>65176.82</v>
      </c>
      <c r="CA39" s="18"/>
      <c r="CB39" s="14"/>
      <c r="CC39" s="14"/>
      <c r="CD39" s="14"/>
      <c r="CE39" s="14"/>
      <c r="CF39" s="14"/>
      <c r="CG39" s="14"/>
      <c r="CH39" s="14">
        <f t="shared" si="25"/>
        <v>0</v>
      </c>
      <c r="CI39" s="14">
        <f t="shared" si="25"/>
        <v>0</v>
      </c>
      <c r="CJ39" s="14">
        <f t="shared" si="25"/>
        <v>0</v>
      </c>
      <c r="CK39" s="14">
        <f t="shared" si="25"/>
        <v>0</v>
      </c>
      <c r="CL39" s="14">
        <f t="shared" si="25"/>
        <v>0</v>
      </c>
      <c r="CM39" s="14">
        <f t="shared" si="25"/>
        <v>0</v>
      </c>
      <c r="CN39" s="14">
        <f t="shared" si="25"/>
        <v>0</v>
      </c>
      <c r="CO39" s="14">
        <f t="shared" si="25"/>
        <v>0</v>
      </c>
      <c r="CP39" s="14">
        <f t="shared" si="25"/>
        <v>0</v>
      </c>
      <c r="CQ39" s="14">
        <f t="shared" si="25"/>
        <v>0</v>
      </c>
      <c r="CR39" s="14">
        <f t="shared" si="25"/>
        <v>0</v>
      </c>
      <c r="CS39" s="14">
        <f t="shared" si="25"/>
        <v>0</v>
      </c>
    </row>
    <row r="40" spans="1:97" x14ac:dyDescent="0.3">
      <c r="A40" s="4"/>
      <c r="CA40" s="18"/>
    </row>
    <row r="41" spans="1:97" x14ac:dyDescent="0.3">
      <c r="A41" s="6" t="s">
        <v>60</v>
      </c>
      <c r="B41" s="13">
        <f>SUM(B38:B40)</f>
        <v>315190.68</v>
      </c>
      <c r="C41" s="13">
        <f t="shared" ref="C41:BN41" si="26">SUM(C38:C40)</f>
        <v>302309.91000000003</v>
      </c>
      <c r="D41" s="13">
        <f t="shared" si="26"/>
        <v>296796.87</v>
      </c>
      <c r="E41" s="13">
        <f t="shared" si="26"/>
        <v>296994.45</v>
      </c>
      <c r="F41" s="13">
        <f t="shared" si="26"/>
        <v>317013.28000000003</v>
      </c>
      <c r="G41" s="13">
        <f t="shared" si="26"/>
        <v>305679.03000000003</v>
      </c>
      <c r="H41" s="13">
        <f t="shared" si="26"/>
        <v>313404.07</v>
      </c>
      <c r="I41" s="13">
        <f t="shared" si="26"/>
        <v>275685.26</v>
      </c>
      <c r="J41" s="13">
        <f t="shared" si="26"/>
        <v>331369.95</v>
      </c>
      <c r="K41" s="13">
        <f t="shared" si="26"/>
        <v>326420.88999999996</v>
      </c>
      <c r="L41" s="13">
        <f t="shared" si="26"/>
        <v>320517.54000000004</v>
      </c>
      <c r="M41" s="13">
        <f t="shared" si="26"/>
        <v>268604.12</v>
      </c>
      <c r="N41" s="13">
        <f t="shared" si="26"/>
        <v>316237.26999999996</v>
      </c>
      <c r="O41" s="13">
        <f t="shared" si="26"/>
        <v>303426.90000000002</v>
      </c>
      <c r="P41" s="13">
        <f t="shared" si="26"/>
        <v>299082.32</v>
      </c>
      <c r="Q41" s="13">
        <f t="shared" si="26"/>
        <v>318345.83999999997</v>
      </c>
      <c r="R41" s="13">
        <f t="shared" si="26"/>
        <v>282242.10000000003</v>
      </c>
      <c r="S41" s="13">
        <f t="shared" si="26"/>
        <v>278070.95999999996</v>
      </c>
      <c r="T41" s="13">
        <f t="shared" si="26"/>
        <v>292069.58</v>
      </c>
      <c r="U41" s="13">
        <f t="shared" si="26"/>
        <v>293212.06000000006</v>
      </c>
      <c r="V41" s="13">
        <f t="shared" si="26"/>
        <v>320171.8</v>
      </c>
      <c r="W41" s="13">
        <f t="shared" si="26"/>
        <v>303061.65000000002</v>
      </c>
      <c r="X41" s="13">
        <f t="shared" si="26"/>
        <v>307341.7</v>
      </c>
      <c r="Y41" s="13">
        <f t="shared" si="26"/>
        <v>217145.19999999998</v>
      </c>
      <c r="Z41" s="13">
        <f t="shared" si="26"/>
        <v>292921.14</v>
      </c>
      <c r="AA41" s="13">
        <f t="shared" si="26"/>
        <v>291222.34999999998</v>
      </c>
      <c r="AB41" s="13">
        <f t="shared" si="26"/>
        <v>302955.62</v>
      </c>
      <c r="AC41" s="13">
        <f t="shared" si="26"/>
        <v>289984.46999999997</v>
      </c>
      <c r="AD41" s="13">
        <f t="shared" si="26"/>
        <v>307765.75</v>
      </c>
      <c r="AE41" s="13">
        <f t="shared" si="26"/>
        <v>305568.92</v>
      </c>
      <c r="AF41" s="13">
        <f t="shared" si="26"/>
        <v>305381.5</v>
      </c>
      <c r="AG41" s="13">
        <f t="shared" si="26"/>
        <v>299723.29000000004</v>
      </c>
      <c r="AH41" s="13">
        <f t="shared" si="26"/>
        <v>292266.59000000003</v>
      </c>
      <c r="AI41" s="13">
        <f t="shared" si="26"/>
        <v>317927.54000000004</v>
      </c>
      <c r="AJ41" s="13">
        <f t="shared" si="26"/>
        <v>320680.18</v>
      </c>
      <c r="AK41" s="13">
        <f t="shared" si="26"/>
        <v>123777.42000000003</v>
      </c>
      <c r="AL41" s="13">
        <f t="shared" si="26"/>
        <v>285404.40000000002</v>
      </c>
      <c r="AM41" s="13">
        <f t="shared" si="26"/>
        <v>283240.59999999998</v>
      </c>
      <c r="AN41" s="13">
        <f t="shared" si="26"/>
        <v>315072.45</v>
      </c>
      <c r="AO41" s="13">
        <f t="shared" si="26"/>
        <v>335629.18</v>
      </c>
      <c r="AP41" s="13">
        <f t="shared" si="26"/>
        <v>325401.12000000005</v>
      </c>
      <c r="AQ41" s="13">
        <f t="shared" si="26"/>
        <v>324053.7</v>
      </c>
      <c r="AR41" s="13">
        <f t="shared" si="26"/>
        <v>338274.42</v>
      </c>
      <c r="AS41" s="13">
        <f t="shared" si="26"/>
        <v>258561.34000000003</v>
      </c>
      <c r="AT41" s="13">
        <f t="shared" si="26"/>
        <v>304022.48</v>
      </c>
      <c r="AU41" s="13">
        <f t="shared" si="26"/>
        <v>312636.10999999993</v>
      </c>
      <c r="AV41" s="13">
        <f t="shared" si="26"/>
        <v>331368.75999999995</v>
      </c>
      <c r="AW41" s="13">
        <f t="shared" si="26"/>
        <v>210375.56</v>
      </c>
      <c r="AX41" s="13">
        <f t="shared" si="26"/>
        <v>302659.95999999996</v>
      </c>
      <c r="AY41" s="13">
        <f t="shared" si="26"/>
        <v>288629.80000000005</v>
      </c>
      <c r="AZ41" s="13">
        <f t="shared" si="26"/>
        <v>292112.69</v>
      </c>
      <c r="BA41" s="13">
        <f t="shared" si="26"/>
        <v>298152.71000000002</v>
      </c>
      <c r="BB41" s="13">
        <f t="shared" si="26"/>
        <v>292692.65999999997</v>
      </c>
      <c r="BC41" s="13">
        <f t="shared" si="26"/>
        <v>303744.51</v>
      </c>
      <c r="BD41" s="13">
        <f t="shared" si="26"/>
        <v>292660.69999999995</v>
      </c>
      <c r="BE41" s="13">
        <f t="shared" si="26"/>
        <v>307312.05</v>
      </c>
      <c r="BF41" s="13">
        <f t="shared" si="26"/>
        <v>324179.41000000003</v>
      </c>
      <c r="BG41" s="13">
        <f t="shared" si="26"/>
        <v>338125.82</v>
      </c>
      <c r="BH41" s="13">
        <f t="shared" si="26"/>
        <v>348814.87000000005</v>
      </c>
      <c r="BI41" s="13">
        <f t="shared" si="26"/>
        <v>339326.71999999997</v>
      </c>
      <c r="BJ41" s="13">
        <f t="shared" si="26"/>
        <v>329898.63</v>
      </c>
      <c r="BK41" s="13">
        <f t="shared" si="26"/>
        <v>326863.22000000003</v>
      </c>
      <c r="BL41" s="13">
        <f t="shared" si="26"/>
        <v>342362.48000000004</v>
      </c>
      <c r="BM41" s="13">
        <f t="shared" si="26"/>
        <v>326190.51</v>
      </c>
      <c r="BN41" s="13">
        <f t="shared" si="26"/>
        <v>357548.37</v>
      </c>
      <c r="BO41" s="13">
        <f t="shared" ref="BO41:BZ41" si="27">SUM(BO38:BO40)</f>
        <v>344247.46000000008</v>
      </c>
      <c r="BP41" s="13">
        <f t="shared" si="27"/>
        <v>321491.27000000008</v>
      </c>
      <c r="BQ41" s="13">
        <f t="shared" si="27"/>
        <v>335228.43000000005</v>
      </c>
      <c r="BR41" s="13">
        <f t="shared" si="27"/>
        <v>361103.94999999995</v>
      </c>
      <c r="BS41" s="13">
        <f t="shared" si="27"/>
        <v>340947.56999999995</v>
      </c>
      <c r="BT41" s="13">
        <f t="shared" si="27"/>
        <v>328219.75999999995</v>
      </c>
      <c r="BU41" s="13">
        <f t="shared" si="27"/>
        <v>172141.66000000003</v>
      </c>
      <c r="BV41" s="13">
        <f t="shared" si="27"/>
        <v>375547.57</v>
      </c>
      <c r="BW41" s="13">
        <f t="shared" si="27"/>
        <v>358570.61000000004</v>
      </c>
      <c r="BX41" s="13">
        <f t="shared" si="27"/>
        <v>378865.01999999996</v>
      </c>
      <c r="BY41" s="13">
        <f t="shared" si="27"/>
        <v>339764.39</v>
      </c>
      <c r="BZ41" s="13">
        <f t="shared" si="27"/>
        <v>349995.45</v>
      </c>
      <c r="CA41" s="25"/>
      <c r="CB41" s="13"/>
      <c r="CC41" s="13"/>
      <c r="CD41" s="13"/>
      <c r="CE41" s="13"/>
      <c r="CF41" s="13"/>
      <c r="CG41" s="13"/>
      <c r="CH41" s="13">
        <v>357262</v>
      </c>
      <c r="CI41" s="13">
        <v>357262</v>
      </c>
      <c r="CJ41" s="13">
        <v>357262</v>
      </c>
      <c r="CK41" s="13">
        <v>357262</v>
      </c>
      <c r="CL41" s="13">
        <v>357262</v>
      </c>
      <c r="CM41" s="13">
        <v>357262</v>
      </c>
      <c r="CN41" s="13">
        <v>357262</v>
      </c>
      <c r="CO41" s="13">
        <v>357262</v>
      </c>
      <c r="CP41" s="13">
        <v>357262</v>
      </c>
      <c r="CQ41" s="13">
        <v>357262</v>
      </c>
      <c r="CR41" s="13">
        <v>357262</v>
      </c>
      <c r="CS41" s="13">
        <v>357262</v>
      </c>
    </row>
    <row r="42" spans="1:97" x14ac:dyDescent="0.3">
      <c r="A42" s="6"/>
      <c r="CA42" s="25"/>
    </row>
    <row r="43" spans="1:97" x14ac:dyDescent="0.3">
      <c r="A43" s="4" t="s">
        <v>13</v>
      </c>
      <c r="B43" s="12">
        <v>302590.46999999997</v>
      </c>
      <c r="C43" s="12">
        <v>270053.52</v>
      </c>
      <c r="D43" s="12">
        <v>335332.24</v>
      </c>
      <c r="E43" s="12">
        <v>273256.56</v>
      </c>
      <c r="F43" s="12">
        <v>282240.49</v>
      </c>
      <c r="G43" s="12">
        <v>276390.83999999997</v>
      </c>
      <c r="H43" s="12">
        <v>284287.62</v>
      </c>
      <c r="I43" s="12">
        <v>292663.82</v>
      </c>
      <c r="J43" s="12">
        <v>281886.33999999997</v>
      </c>
      <c r="K43" s="12">
        <v>283816.26</v>
      </c>
      <c r="L43" s="12">
        <v>278125.49</v>
      </c>
      <c r="M43" s="12">
        <v>264914.06</v>
      </c>
      <c r="N43" s="12">
        <v>273157.36</v>
      </c>
      <c r="O43" s="12">
        <v>255736.24</v>
      </c>
      <c r="P43" s="12">
        <v>270557.54000000004</v>
      </c>
      <c r="Q43" s="12">
        <v>247521.82</v>
      </c>
      <c r="R43" s="12">
        <v>239082.26</v>
      </c>
      <c r="S43" s="12">
        <v>288056.51</v>
      </c>
      <c r="T43" s="12">
        <v>298578.91000000003</v>
      </c>
      <c r="U43" s="12">
        <v>301683.56</v>
      </c>
      <c r="V43" s="12">
        <v>303006.71999999997</v>
      </c>
      <c r="W43" s="12">
        <v>274340.24</v>
      </c>
      <c r="X43" s="12">
        <v>259541.37</v>
      </c>
      <c r="Y43" s="12">
        <v>-20716.999999999985</v>
      </c>
      <c r="Z43" s="12">
        <v>213724.84999999998</v>
      </c>
      <c r="AA43" s="12">
        <v>197764.53999999998</v>
      </c>
      <c r="AB43" s="12">
        <v>236043.33000000002</v>
      </c>
      <c r="AC43" s="12">
        <v>275907.28999999998</v>
      </c>
      <c r="AD43" s="12">
        <v>282936.81</v>
      </c>
      <c r="AE43" s="12">
        <v>261758.75</v>
      </c>
      <c r="AF43" s="12">
        <v>284859.78999999998</v>
      </c>
      <c r="AG43" s="12">
        <v>259633.43</v>
      </c>
      <c r="AH43" s="12">
        <v>255224.5</v>
      </c>
      <c r="AI43" s="12">
        <v>250032.59999999998</v>
      </c>
      <c r="AJ43" s="12">
        <v>260951.53999999998</v>
      </c>
      <c r="AK43" s="12">
        <v>113962.34000000001</v>
      </c>
      <c r="AL43" s="12">
        <v>319561.64</v>
      </c>
      <c r="AM43" s="12">
        <v>313991.16000000003</v>
      </c>
      <c r="AN43" s="12">
        <v>333790.03000000003</v>
      </c>
      <c r="AO43" s="12">
        <v>308261.77</v>
      </c>
      <c r="AP43" s="12">
        <v>295822.39</v>
      </c>
      <c r="AQ43" s="12">
        <v>354889.20999999996</v>
      </c>
      <c r="AR43" s="12">
        <v>381351.63</v>
      </c>
      <c r="AS43" s="12">
        <v>436093.11</v>
      </c>
      <c r="AT43" s="12">
        <v>494070.7</v>
      </c>
      <c r="AU43" s="12">
        <v>576221.76</v>
      </c>
      <c r="AV43" s="12">
        <v>693575.72</v>
      </c>
      <c r="AW43" s="12">
        <v>450645.15</v>
      </c>
      <c r="AX43" s="12">
        <v>588065.78</v>
      </c>
      <c r="AY43" s="12">
        <v>581899.59000000008</v>
      </c>
      <c r="AZ43" s="12">
        <v>630142.38</v>
      </c>
      <c r="BA43" s="12">
        <v>550554.13</v>
      </c>
      <c r="BB43" s="12">
        <v>572781.79</v>
      </c>
      <c r="BC43" s="12">
        <v>550255.18000000005</v>
      </c>
      <c r="BD43" s="12">
        <v>652940.30000000005</v>
      </c>
      <c r="BE43" s="12">
        <v>602229.55000000005</v>
      </c>
      <c r="BF43" s="12">
        <v>598882.13</v>
      </c>
      <c r="BG43" s="12">
        <v>589345.44000000006</v>
      </c>
      <c r="BH43" s="12">
        <v>495065.72000000003</v>
      </c>
      <c r="BI43" s="12">
        <v>-654596.92000000004</v>
      </c>
      <c r="BJ43" s="12">
        <v>513641.29000000004</v>
      </c>
      <c r="BK43" s="12">
        <v>478106.61</v>
      </c>
      <c r="BL43" s="12">
        <v>470912.17999999993</v>
      </c>
      <c r="BM43" s="12">
        <v>433317.36</v>
      </c>
      <c r="BN43" s="12">
        <v>431713.42</v>
      </c>
      <c r="BO43" s="12">
        <v>496654.82000000007</v>
      </c>
      <c r="BP43" s="12">
        <v>374605.5</v>
      </c>
      <c r="BQ43" s="12">
        <v>506703.29</v>
      </c>
      <c r="BR43" s="12">
        <v>493811.31</v>
      </c>
      <c r="BS43" s="12">
        <v>514679.07</v>
      </c>
      <c r="BT43" s="12">
        <v>478670.57999999996</v>
      </c>
      <c r="BU43" s="12">
        <v>449754.87</v>
      </c>
      <c r="BV43" s="12">
        <v>477546.48</v>
      </c>
      <c r="BW43" s="12">
        <v>335898.75</v>
      </c>
      <c r="BX43" s="12">
        <v>468994.12</v>
      </c>
      <c r="BY43" s="12">
        <v>426922.92000000004</v>
      </c>
      <c r="BZ43" s="12">
        <v>426315.95</v>
      </c>
      <c r="CA43" s="25"/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432244</v>
      </c>
      <c r="CI43" s="12">
        <v>432244</v>
      </c>
      <c r="CJ43" s="12">
        <v>432244</v>
      </c>
      <c r="CK43" s="12">
        <v>432244</v>
      </c>
      <c r="CL43" s="12">
        <v>432244</v>
      </c>
      <c r="CM43" s="12">
        <v>432244</v>
      </c>
      <c r="CN43" s="12">
        <v>432244</v>
      </c>
      <c r="CO43" s="12">
        <v>432244</v>
      </c>
      <c r="CP43" s="12">
        <v>432244</v>
      </c>
      <c r="CQ43" s="12">
        <v>432244</v>
      </c>
      <c r="CR43" s="12">
        <v>432244</v>
      </c>
      <c r="CS43" s="12">
        <v>432244</v>
      </c>
    </row>
    <row r="44" spans="1:97" x14ac:dyDescent="0.3">
      <c r="A44" s="4" t="s">
        <v>14</v>
      </c>
      <c r="B44" s="12">
        <v>11259.67</v>
      </c>
      <c r="C44" s="12">
        <v>10863.2</v>
      </c>
      <c r="D44" s="12">
        <v>11717.2</v>
      </c>
      <c r="E44" s="12">
        <v>11625.539999999999</v>
      </c>
      <c r="F44" s="12">
        <v>11641.01</v>
      </c>
      <c r="G44" s="12">
        <v>10796.36</v>
      </c>
      <c r="H44" s="12">
        <v>15473.98</v>
      </c>
      <c r="I44" s="12">
        <v>16989.34</v>
      </c>
      <c r="J44" s="12">
        <v>14386.78</v>
      </c>
      <c r="K44" s="12">
        <v>18131.37</v>
      </c>
      <c r="L44" s="12">
        <v>19975.8</v>
      </c>
      <c r="M44" s="12">
        <v>18504.02</v>
      </c>
      <c r="N44" s="12">
        <v>17645.14</v>
      </c>
      <c r="O44" s="12">
        <v>17417.53</v>
      </c>
      <c r="P44" s="12">
        <v>21482.79</v>
      </c>
      <c r="Q44" s="12">
        <v>15801.25</v>
      </c>
      <c r="R44" s="12">
        <v>16649.29</v>
      </c>
      <c r="S44" s="12">
        <v>20050.170000000002</v>
      </c>
      <c r="T44" s="12">
        <v>25072</v>
      </c>
      <c r="U44" s="12">
        <v>21276.18</v>
      </c>
      <c r="V44" s="12">
        <v>23152.21</v>
      </c>
      <c r="W44" s="12">
        <v>27024.9</v>
      </c>
      <c r="X44" s="12">
        <v>21776.71</v>
      </c>
      <c r="Y44" s="12">
        <v>-4941.6399999999994</v>
      </c>
      <c r="Z44" s="12">
        <v>17175.54</v>
      </c>
      <c r="AA44" s="12">
        <v>20445.23</v>
      </c>
      <c r="AB44" s="12">
        <v>21018.94</v>
      </c>
      <c r="AC44" s="12">
        <v>19651.800000000003</v>
      </c>
      <c r="AD44" s="12">
        <v>19176.849999999999</v>
      </c>
      <c r="AE44" s="12">
        <v>19694.3</v>
      </c>
      <c r="AF44" s="12">
        <v>20400.45</v>
      </c>
      <c r="AG44" s="12">
        <v>23599.62</v>
      </c>
      <c r="AH44" s="12">
        <v>24753.47</v>
      </c>
      <c r="AI44" s="12">
        <v>31200.29</v>
      </c>
      <c r="AJ44" s="12">
        <v>30057.3</v>
      </c>
      <c r="AK44" s="12">
        <v>4698.74</v>
      </c>
      <c r="AL44" s="12">
        <v>28161.279999999999</v>
      </c>
      <c r="AM44" s="12">
        <v>33768.619999999995</v>
      </c>
      <c r="AN44" s="12">
        <v>38143.050000000003</v>
      </c>
      <c r="AO44" s="12">
        <v>36149.51</v>
      </c>
      <c r="AP44" s="12">
        <v>34603.03</v>
      </c>
      <c r="AQ44" s="12">
        <v>29000.600000000002</v>
      </c>
      <c r="AR44" s="12">
        <v>33365.5</v>
      </c>
      <c r="AS44" s="12">
        <v>37795.17</v>
      </c>
      <c r="AT44" s="12">
        <v>38743.07</v>
      </c>
      <c r="AU44" s="12">
        <v>34601.370000000003</v>
      </c>
      <c r="AV44" s="12">
        <v>39921.279999999999</v>
      </c>
      <c r="AW44" s="12">
        <v>10219.91</v>
      </c>
      <c r="AX44" s="12">
        <v>26837.050000000003</v>
      </c>
      <c r="AY44" s="12">
        <v>30867.06</v>
      </c>
      <c r="AZ44" s="12">
        <v>38389.950000000004</v>
      </c>
      <c r="BA44" s="12">
        <v>28454.050000000003</v>
      </c>
      <c r="BB44" s="12">
        <v>34981.68</v>
      </c>
      <c r="BC44" s="12">
        <v>29810.77</v>
      </c>
      <c r="BD44" s="12">
        <v>42877.320000000007</v>
      </c>
      <c r="BE44" s="12">
        <v>40827.340000000004</v>
      </c>
      <c r="BF44" s="12">
        <v>47800.08</v>
      </c>
      <c r="BG44" s="12">
        <v>31588.21</v>
      </c>
      <c r="BH44" s="12">
        <v>30782.240000000002</v>
      </c>
      <c r="BI44" s="12">
        <v>24290.309999999998</v>
      </c>
      <c r="BJ44" s="12">
        <v>42684.950000000004</v>
      </c>
      <c r="BK44" s="12">
        <v>34747.369999999995</v>
      </c>
      <c r="BL44" s="12">
        <v>27944.75</v>
      </c>
      <c r="BM44" s="12">
        <v>34681.160000000003</v>
      </c>
      <c r="BN44" s="12">
        <v>36232.969999999994</v>
      </c>
      <c r="BO44" s="12">
        <v>38410.14</v>
      </c>
      <c r="BP44" s="12">
        <v>42916.79</v>
      </c>
      <c r="BQ44" s="12">
        <v>39607.1</v>
      </c>
      <c r="BR44" s="12">
        <v>33974.9</v>
      </c>
      <c r="BS44" s="12">
        <v>41595.300000000003</v>
      </c>
      <c r="BT44" s="12">
        <v>41380.589999999997</v>
      </c>
      <c r="BU44" s="12">
        <v>-14440.09</v>
      </c>
      <c r="BV44" s="12">
        <v>38183</v>
      </c>
      <c r="BW44" s="12">
        <v>48811.24</v>
      </c>
      <c r="BX44" s="12">
        <v>35200.699999999997</v>
      </c>
      <c r="BY44" s="12">
        <v>50149.47</v>
      </c>
      <c r="BZ44" s="12">
        <v>53027.66</v>
      </c>
      <c r="CA44" s="18"/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43865</v>
      </c>
      <c r="CI44" s="12">
        <v>43865</v>
      </c>
      <c r="CJ44" s="12">
        <v>43865</v>
      </c>
      <c r="CK44" s="12">
        <v>43865</v>
      </c>
      <c r="CL44" s="12">
        <v>43865</v>
      </c>
      <c r="CM44" s="12">
        <v>43865</v>
      </c>
      <c r="CN44" s="12">
        <v>43865</v>
      </c>
      <c r="CO44" s="12">
        <v>43865</v>
      </c>
      <c r="CP44" s="12">
        <v>43865</v>
      </c>
      <c r="CQ44" s="12">
        <v>43865</v>
      </c>
      <c r="CR44" s="12">
        <v>43865</v>
      </c>
      <c r="CS44" s="12">
        <v>43865</v>
      </c>
    </row>
    <row r="45" spans="1:97" x14ac:dyDescent="0.3">
      <c r="A45" s="4" t="s">
        <v>15</v>
      </c>
      <c r="B45" s="12">
        <v>6441.85</v>
      </c>
      <c r="C45" s="12">
        <v>11885.1</v>
      </c>
      <c r="D45" s="12">
        <v>5897.5300000000007</v>
      </c>
      <c r="E45" s="12">
        <v>5897.52</v>
      </c>
      <c r="F45" s="12">
        <v>5897.52</v>
      </c>
      <c r="G45" s="12">
        <v>5897.52</v>
      </c>
      <c r="H45" s="12">
        <v>5897.52</v>
      </c>
      <c r="I45" s="12">
        <v>5897.52</v>
      </c>
      <c r="J45" s="12">
        <v>5897.52</v>
      </c>
      <c r="K45" s="12">
        <v>5897.52</v>
      </c>
      <c r="L45" s="12">
        <v>5897.52</v>
      </c>
      <c r="M45" s="12">
        <v>5897.52</v>
      </c>
      <c r="N45" s="12">
        <v>6587.6</v>
      </c>
      <c r="O45" s="12">
        <v>6587.6</v>
      </c>
      <c r="P45" s="12">
        <v>6587.6</v>
      </c>
      <c r="Q45" s="12">
        <v>6587.6</v>
      </c>
      <c r="R45" s="12">
        <v>6587.6</v>
      </c>
      <c r="S45" s="12">
        <v>6587.6</v>
      </c>
      <c r="T45" s="12">
        <v>6587.6</v>
      </c>
      <c r="U45" s="12">
        <v>6587.6</v>
      </c>
      <c r="V45" s="12">
        <v>6587.6</v>
      </c>
      <c r="W45" s="12">
        <v>6587.6</v>
      </c>
      <c r="X45" s="12">
        <v>6587.6</v>
      </c>
      <c r="Y45" s="12">
        <v>6587.6</v>
      </c>
      <c r="Z45" s="12">
        <v>7778.41</v>
      </c>
      <c r="AA45" s="12">
        <v>7778.41</v>
      </c>
      <c r="AB45" s="12">
        <v>7778.41</v>
      </c>
      <c r="AC45" s="12">
        <v>7778.41</v>
      </c>
      <c r="AD45" s="12">
        <v>7778.41</v>
      </c>
      <c r="AE45" s="12">
        <v>7778.41</v>
      </c>
      <c r="AF45" s="12">
        <v>7778.41</v>
      </c>
      <c r="AG45" s="12">
        <v>7778.41</v>
      </c>
      <c r="AH45" s="12">
        <v>7778.41</v>
      </c>
      <c r="AI45" s="12">
        <v>7778.41</v>
      </c>
      <c r="AJ45" s="12">
        <v>7778.41</v>
      </c>
      <c r="AK45" s="12">
        <v>7778.41</v>
      </c>
      <c r="AL45" s="12">
        <v>6484.52</v>
      </c>
      <c r="AM45" s="12">
        <v>6484.52</v>
      </c>
      <c r="AN45" s="12">
        <v>6484.52</v>
      </c>
      <c r="AO45" s="12">
        <v>6484.52</v>
      </c>
      <c r="AP45" s="12">
        <v>6484.52</v>
      </c>
      <c r="AQ45" s="12">
        <v>6484.52</v>
      </c>
      <c r="AR45" s="12">
        <v>6484.52</v>
      </c>
      <c r="AS45" s="12">
        <v>6484.52</v>
      </c>
      <c r="AT45" s="12">
        <v>6484.52</v>
      </c>
      <c r="AU45" s="12">
        <v>6484.52</v>
      </c>
      <c r="AV45" s="12">
        <v>6484.52</v>
      </c>
      <c r="AW45" s="12">
        <v>6484.52</v>
      </c>
      <c r="AX45" s="12">
        <v>5103.8600000000006</v>
      </c>
      <c r="AY45" s="12">
        <v>5103.8600000000006</v>
      </c>
      <c r="AZ45" s="12">
        <v>5103.8600000000006</v>
      </c>
      <c r="BA45" s="12">
        <v>5103.8600000000006</v>
      </c>
      <c r="BB45" s="12">
        <v>5103.8600000000006</v>
      </c>
      <c r="BC45" s="12">
        <v>5103.8600000000006</v>
      </c>
      <c r="BD45" s="12">
        <v>5103.8600000000006</v>
      </c>
      <c r="BE45" s="12">
        <v>5103.8600000000006</v>
      </c>
      <c r="BF45" s="12">
        <v>5103.8600000000006</v>
      </c>
      <c r="BG45" s="12">
        <v>5103.8600000000006</v>
      </c>
      <c r="BH45" s="12">
        <v>5103.8600000000006</v>
      </c>
      <c r="BI45" s="12">
        <v>5103.8600000000006</v>
      </c>
      <c r="BJ45" s="12">
        <v>5708.0599999999995</v>
      </c>
      <c r="BK45" s="12">
        <v>5398.03</v>
      </c>
      <c r="BL45" s="12">
        <v>5398.03</v>
      </c>
      <c r="BM45" s="12">
        <v>5398.03</v>
      </c>
      <c r="BN45" s="12">
        <v>5398.03</v>
      </c>
      <c r="BO45" s="12">
        <v>5398.03</v>
      </c>
      <c r="BP45" s="12">
        <v>5966.42</v>
      </c>
      <c r="BQ45" s="12">
        <v>5966.42</v>
      </c>
      <c r="BR45" s="12">
        <v>5966.42</v>
      </c>
      <c r="BS45" s="12">
        <v>5966.42</v>
      </c>
      <c r="BT45" s="12">
        <v>5966.42</v>
      </c>
      <c r="BU45" s="12">
        <v>5966.42</v>
      </c>
      <c r="BV45" s="12">
        <v>1466.67</v>
      </c>
      <c r="BW45" s="12">
        <v>1466.67</v>
      </c>
      <c r="BX45" s="12">
        <v>1466.67</v>
      </c>
      <c r="BY45" s="12">
        <v>1466.67</v>
      </c>
      <c r="BZ45" s="12">
        <v>1466.67</v>
      </c>
      <c r="CA45" s="18"/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5656</v>
      </c>
      <c r="CI45" s="12">
        <v>5656</v>
      </c>
      <c r="CJ45" s="12">
        <v>5656</v>
      </c>
      <c r="CK45" s="12">
        <v>5656</v>
      </c>
      <c r="CL45" s="12">
        <v>5656</v>
      </c>
      <c r="CM45" s="12">
        <v>5656</v>
      </c>
      <c r="CN45" s="12">
        <v>5656</v>
      </c>
      <c r="CO45" s="12">
        <v>5656</v>
      </c>
      <c r="CP45" s="12">
        <v>5656</v>
      </c>
      <c r="CQ45" s="12">
        <v>5656</v>
      </c>
      <c r="CR45" s="12">
        <v>5656</v>
      </c>
      <c r="CS45" s="12">
        <v>5656</v>
      </c>
    </row>
    <row r="46" spans="1:97" x14ac:dyDescent="0.3">
      <c r="A46" s="4"/>
      <c r="CA46" s="18"/>
    </row>
    <row r="47" spans="1:97" x14ac:dyDescent="0.3">
      <c r="A47" s="6" t="s">
        <v>58</v>
      </c>
      <c r="B47" s="9">
        <f t="shared" ref="B47:BM47" si="28">B43+B44+B45</f>
        <v>320291.98999999993</v>
      </c>
      <c r="C47" s="9">
        <f t="shared" si="28"/>
        <v>292801.82</v>
      </c>
      <c r="D47" s="9">
        <f t="shared" si="28"/>
        <v>352946.97000000003</v>
      </c>
      <c r="E47" s="9">
        <f t="shared" si="28"/>
        <v>290779.62</v>
      </c>
      <c r="F47" s="9">
        <f t="shared" si="28"/>
        <v>299779.02</v>
      </c>
      <c r="G47" s="9">
        <f t="shared" si="28"/>
        <v>293084.71999999997</v>
      </c>
      <c r="H47" s="9">
        <f t="shared" si="28"/>
        <v>305659.12</v>
      </c>
      <c r="I47" s="9">
        <f t="shared" si="28"/>
        <v>315550.68000000005</v>
      </c>
      <c r="J47" s="9">
        <f t="shared" si="28"/>
        <v>302170.64</v>
      </c>
      <c r="K47" s="9">
        <f t="shared" si="28"/>
        <v>307845.15000000002</v>
      </c>
      <c r="L47" s="9">
        <f t="shared" si="28"/>
        <v>303998.81</v>
      </c>
      <c r="M47" s="9">
        <f t="shared" si="28"/>
        <v>289315.60000000003</v>
      </c>
      <c r="N47" s="9">
        <f t="shared" si="28"/>
        <v>297390.09999999998</v>
      </c>
      <c r="O47" s="9">
        <f t="shared" si="28"/>
        <v>279741.37</v>
      </c>
      <c r="P47" s="9">
        <f t="shared" si="28"/>
        <v>298627.93</v>
      </c>
      <c r="Q47" s="9">
        <f t="shared" si="28"/>
        <v>269910.67</v>
      </c>
      <c r="R47" s="9">
        <f t="shared" si="28"/>
        <v>262319.15000000002</v>
      </c>
      <c r="S47" s="9">
        <f t="shared" si="28"/>
        <v>314694.27999999997</v>
      </c>
      <c r="T47" s="9">
        <f t="shared" si="28"/>
        <v>330238.51</v>
      </c>
      <c r="U47" s="9">
        <f t="shared" si="28"/>
        <v>329547.33999999997</v>
      </c>
      <c r="V47" s="9">
        <f t="shared" si="28"/>
        <v>332746.52999999997</v>
      </c>
      <c r="W47" s="9">
        <f t="shared" si="28"/>
        <v>307952.74</v>
      </c>
      <c r="X47" s="9">
        <f t="shared" si="28"/>
        <v>287905.68</v>
      </c>
      <c r="Y47" s="9">
        <f t="shared" si="28"/>
        <v>-19071.039999999986</v>
      </c>
      <c r="Z47" s="9">
        <f t="shared" si="28"/>
        <v>238678.8</v>
      </c>
      <c r="AA47" s="9">
        <f t="shared" si="28"/>
        <v>225988.18</v>
      </c>
      <c r="AB47" s="9">
        <f t="shared" si="28"/>
        <v>264840.68</v>
      </c>
      <c r="AC47" s="9">
        <f t="shared" si="28"/>
        <v>303337.49999999994</v>
      </c>
      <c r="AD47" s="9">
        <f t="shared" si="28"/>
        <v>309892.06999999995</v>
      </c>
      <c r="AE47" s="9">
        <f t="shared" si="28"/>
        <v>289231.45999999996</v>
      </c>
      <c r="AF47" s="9">
        <f t="shared" si="28"/>
        <v>313038.64999999997</v>
      </c>
      <c r="AG47" s="9">
        <f t="shared" si="28"/>
        <v>291011.45999999996</v>
      </c>
      <c r="AH47" s="9">
        <f t="shared" si="28"/>
        <v>287756.37999999995</v>
      </c>
      <c r="AI47" s="9">
        <f t="shared" si="28"/>
        <v>289011.29999999993</v>
      </c>
      <c r="AJ47" s="9">
        <f t="shared" si="28"/>
        <v>298787.24999999994</v>
      </c>
      <c r="AK47" s="9">
        <f t="shared" si="28"/>
        <v>126439.49000000002</v>
      </c>
      <c r="AL47" s="9">
        <f t="shared" si="28"/>
        <v>354207.44000000006</v>
      </c>
      <c r="AM47" s="9">
        <f t="shared" si="28"/>
        <v>354244.30000000005</v>
      </c>
      <c r="AN47" s="9">
        <f t="shared" si="28"/>
        <v>378417.60000000003</v>
      </c>
      <c r="AO47" s="9">
        <f t="shared" si="28"/>
        <v>350895.80000000005</v>
      </c>
      <c r="AP47" s="9">
        <f t="shared" si="28"/>
        <v>336909.94000000006</v>
      </c>
      <c r="AQ47" s="9">
        <f t="shared" si="28"/>
        <v>390374.32999999996</v>
      </c>
      <c r="AR47" s="9">
        <f t="shared" si="28"/>
        <v>421201.65</v>
      </c>
      <c r="AS47" s="9">
        <f t="shared" si="28"/>
        <v>480372.8</v>
      </c>
      <c r="AT47" s="9">
        <f t="shared" si="28"/>
        <v>539298.29</v>
      </c>
      <c r="AU47" s="9">
        <f t="shared" si="28"/>
        <v>617307.65</v>
      </c>
      <c r="AV47" s="9">
        <f t="shared" si="28"/>
        <v>739981.52</v>
      </c>
      <c r="AW47" s="9">
        <f t="shared" si="28"/>
        <v>467349.58</v>
      </c>
      <c r="AX47" s="9">
        <f t="shared" si="28"/>
        <v>620006.69000000006</v>
      </c>
      <c r="AY47" s="9">
        <f t="shared" si="28"/>
        <v>617870.51000000013</v>
      </c>
      <c r="AZ47" s="9">
        <f t="shared" si="28"/>
        <v>673636.19</v>
      </c>
      <c r="BA47" s="9">
        <f t="shared" si="28"/>
        <v>584112.04</v>
      </c>
      <c r="BB47" s="9">
        <f t="shared" si="28"/>
        <v>612867.33000000007</v>
      </c>
      <c r="BC47" s="9">
        <f t="shared" si="28"/>
        <v>585169.81000000006</v>
      </c>
      <c r="BD47" s="9">
        <f t="shared" si="28"/>
        <v>700921.4800000001</v>
      </c>
      <c r="BE47" s="9">
        <f t="shared" si="28"/>
        <v>648160.75</v>
      </c>
      <c r="BF47" s="9">
        <f t="shared" si="28"/>
        <v>651786.06999999995</v>
      </c>
      <c r="BG47" s="9">
        <f t="shared" si="28"/>
        <v>626037.51</v>
      </c>
      <c r="BH47" s="9">
        <f t="shared" si="28"/>
        <v>530951.82000000007</v>
      </c>
      <c r="BI47" s="9">
        <f t="shared" si="28"/>
        <v>-625202.75000000012</v>
      </c>
      <c r="BJ47" s="9">
        <f t="shared" si="28"/>
        <v>562034.30000000005</v>
      </c>
      <c r="BK47" s="9">
        <f t="shared" si="28"/>
        <v>518252.01</v>
      </c>
      <c r="BL47" s="9">
        <f t="shared" si="28"/>
        <v>504254.95999999996</v>
      </c>
      <c r="BM47" s="9">
        <f t="shared" si="28"/>
        <v>473396.55000000005</v>
      </c>
      <c r="BN47" s="9">
        <f t="shared" ref="BN47:BU47" si="29">BN43+BN44+BN45</f>
        <v>473344.42</v>
      </c>
      <c r="BO47" s="9">
        <f t="shared" si="29"/>
        <v>540462.99000000011</v>
      </c>
      <c r="BP47" s="9">
        <f t="shared" si="29"/>
        <v>423488.70999999996</v>
      </c>
      <c r="BQ47" s="9">
        <f t="shared" si="29"/>
        <v>552276.81000000006</v>
      </c>
      <c r="BR47" s="9">
        <f t="shared" si="29"/>
        <v>533752.63</v>
      </c>
      <c r="BS47" s="9">
        <f t="shared" si="29"/>
        <v>562240.79</v>
      </c>
      <c r="BT47" s="9">
        <f t="shared" si="29"/>
        <v>526017.59</v>
      </c>
      <c r="BU47" s="9">
        <f t="shared" si="29"/>
        <v>441281.19999999995</v>
      </c>
      <c r="BV47" s="9">
        <f>BV43+BV44+BV45</f>
        <v>517196.14999999997</v>
      </c>
      <c r="BW47" s="9">
        <f t="shared" ref="BW47:BZ47" si="30">BW43+BW44+BW45</f>
        <v>386176.66</v>
      </c>
      <c r="BX47" s="9">
        <f t="shared" si="30"/>
        <v>505661.49</v>
      </c>
      <c r="BY47" s="9">
        <f t="shared" si="30"/>
        <v>478539.06</v>
      </c>
      <c r="BZ47" s="9">
        <f t="shared" si="30"/>
        <v>480810.27999999997</v>
      </c>
      <c r="CA47" s="18"/>
      <c r="CB47" s="9"/>
      <c r="CC47" s="9"/>
      <c r="CD47" s="9"/>
      <c r="CE47" s="9"/>
      <c r="CF47" s="9"/>
      <c r="CG47" s="9"/>
      <c r="CH47" s="9">
        <f>CH43+CH44+CH45</f>
        <v>481765</v>
      </c>
      <c r="CI47" s="9">
        <f t="shared" ref="CI47:CS47" si="31">CI43+CI44+CI45</f>
        <v>481765</v>
      </c>
      <c r="CJ47" s="9">
        <f t="shared" si="31"/>
        <v>481765</v>
      </c>
      <c r="CK47" s="9">
        <f t="shared" si="31"/>
        <v>481765</v>
      </c>
      <c r="CL47" s="9">
        <f t="shared" si="31"/>
        <v>481765</v>
      </c>
      <c r="CM47" s="9">
        <f t="shared" si="31"/>
        <v>481765</v>
      </c>
      <c r="CN47" s="9">
        <f t="shared" si="31"/>
        <v>481765</v>
      </c>
      <c r="CO47" s="9">
        <f t="shared" si="31"/>
        <v>481765</v>
      </c>
      <c r="CP47" s="9">
        <f t="shared" si="31"/>
        <v>481765</v>
      </c>
      <c r="CQ47" s="9">
        <f t="shared" si="31"/>
        <v>481765</v>
      </c>
      <c r="CR47" s="9">
        <f t="shared" si="31"/>
        <v>481765</v>
      </c>
      <c r="CS47" s="9">
        <f t="shared" si="31"/>
        <v>481765</v>
      </c>
    </row>
    <row r="48" spans="1:97" x14ac:dyDescent="0.3">
      <c r="A48" s="4"/>
      <c r="CA48" s="25"/>
    </row>
    <row r="49" spans="1:97" x14ac:dyDescent="0.3">
      <c r="A49" s="4" t="s">
        <v>39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-50000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200000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8"/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</row>
    <row r="50" spans="1:97" x14ac:dyDescent="0.3">
      <c r="A50" s="31" t="s">
        <v>61</v>
      </c>
      <c r="B50" s="12">
        <v>40000</v>
      </c>
      <c r="C50" s="12">
        <v>40000</v>
      </c>
      <c r="D50" s="12">
        <v>40000</v>
      </c>
      <c r="E50" s="12">
        <v>40000</v>
      </c>
      <c r="F50" s="12">
        <v>40000</v>
      </c>
      <c r="G50" s="12">
        <v>40000</v>
      </c>
      <c r="H50" s="12">
        <v>40000</v>
      </c>
      <c r="I50" s="12">
        <v>40000</v>
      </c>
      <c r="J50" s="12">
        <v>40000</v>
      </c>
      <c r="K50" s="12">
        <v>40000</v>
      </c>
      <c r="L50" s="12">
        <v>40000</v>
      </c>
      <c r="M50" s="12">
        <v>67634.92</v>
      </c>
      <c r="N50" s="12">
        <v>60498.55</v>
      </c>
      <c r="O50" s="12">
        <v>60498.55</v>
      </c>
      <c r="P50" s="12">
        <v>60498.55</v>
      </c>
      <c r="Q50" s="12">
        <v>60498.55</v>
      </c>
      <c r="R50" s="12">
        <v>60498.55</v>
      </c>
      <c r="S50" s="12">
        <v>60498.55</v>
      </c>
      <c r="T50" s="12">
        <v>60498.55</v>
      </c>
      <c r="U50" s="12">
        <v>60498.55</v>
      </c>
      <c r="V50" s="12">
        <v>60498.55</v>
      </c>
      <c r="W50" s="12">
        <v>40000</v>
      </c>
      <c r="X50" s="12">
        <v>40000</v>
      </c>
      <c r="Y50" s="12">
        <v>340240.36</v>
      </c>
      <c r="Z50" s="12">
        <v>40000</v>
      </c>
      <c r="AA50" s="12">
        <v>40000</v>
      </c>
      <c r="AB50" s="12">
        <v>40000</v>
      </c>
      <c r="AC50" s="12">
        <v>40000</v>
      </c>
      <c r="AD50" s="12">
        <v>40000</v>
      </c>
      <c r="AE50" s="12">
        <v>40000</v>
      </c>
      <c r="AF50" s="12">
        <v>40000</v>
      </c>
      <c r="AG50" s="12">
        <v>40000</v>
      </c>
      <c r="AH50" s="12">
        <v>40000</v>
      </c>
      <c r="AI50" s="12">
        <v>40000</v>
      </c>
      <c r="AJ50" s="12">
        <v>40000</v>
      </c>
      <c r="AK50" s="12">
        <v>404634.17</v>
      </c>
      <c r="AL50" s="12">
        <v>40000</v>
      </c>
      <c r="AM50" s="12">
        <v>40000</v>
      </c>
      <c r="AN50" s="12">
        <v>40000</v>
      </c>
      <c r="AO50" s="12">
        <v>40000</v>
      </c>
      <c r="AP50" s="12">
        <v>40000</v>
      </c>
      <c r="AQ50" s="12">
        <v>40000</v>
      </c>
      <c r="AR50" s="12">
        <v>40000</v>
      </c>
      <c r="AS50" s="12">
        <v>40000</v>
      </c>
      <c r="AT50" s="12">
        <v>40000</v>
      </c>
      <c r="AU50" s="12">
        <v>40000</v>
      </c>
      <c r="AV50" s="12">
        <v>40000</v>
      </c>
      <c r="AW50" s="12">
        <v>-92789.02</v>
      </c>
      <c r="AX50" s="12">
        <v>40000</v>
      </c>
      <c r="AY50" s="12">
        <v>40000</v>
      </c>
      <c r="AZ50" s="12">
        <v>40000</v>
      </c>
      <c r="BA50" s="12">
        <v>40000</v>
      </c>
      <c r="BB50" s="12">
        <v>40000</v>
      </c>
      <c r="BC50" s="12">
        <v>40000</v>
      </c>
      <c r="BD50" s="12">
        <v>40000</v>
      </c>
      <c r="BE50" s="12">
        <v>40000</v>
      </c>
      <c r="BF50" s="12">
        <v>40000</v>
      </c>
      <c r="BG50" s="12">
        <v>40000</v>
      </c>
      <c r="BH50" s="12">
        <v>40000</v>
      </c>
      <c r="BI50" s="12">
        <v>-465828.2</v>
      </c>
      <c r="BJ50" s="12">
        <v>40000</v>
      </c>
      <c r="BK50" s="12">
        <v>40000</v>
      </c>
      <c r="BL50" s="12">
        <v>40000</v>
      </c>
      <c r="BM50" s="12">
        <v>40000</v>
      </c>
      <c r="BN50" s="12">
        <v>40000</v>
      </c>
      <c r="BO50" s="12">
        <v>40000</v>
      </c>
      <c r="BP50" s="12">
        <v>40000</v>
      </c>
      <c r="BQ50" s="12">
        <v>40000</v>
      </c>
      <c r="BR50" s="12">
        <v>40000</v>
      </c>
      <c r="BS50" s="12">
        <v>40000</v>
      </c>
      <c r="BT50" s="12">
        <v>40000</v>
      </c>
      <c r="BU50" s="12">
        <v>-131660</v>
      </c>
      <c r="BV50" s="12">
        <v>40000</v>
      </c>
      <c r="BW50" s="12">
        <v>40000</v>
      </c>
      <c r="BX50" s="12">
        <v>40000</v>
      </c>
      <c r="BY50" s="12">
        <v>40000</v>
      </c>
      <c r="BZ50" s="12">
        <v>43334.97</v>
      </c>
      <c r="CA50" s="18"/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40000</v>
      </c>
      <c r="CI50" s="12">
        <v>40000</v>
      </c>
      <c r="CJ50" s="12">
        <v>40000</v>
      </c>
      <c r="CK50" s="12">
        <v>40000</v>
      </c>
      <c r="CL50" s="12">
        <v>40000</v>
      </c>
      <c r="CM50" s="12">
        <v>40000</v>
      </c>
      <c r="CN50" s="12">
        <v>40000</v>
      </c>
      <c r="CO50" s="12">
        <v>40000</v>
      </c>
      <c r="CP50" s="12">
        <v>40000</v>
      </c>
      <c r="CQ50" s="12">
        <v>40000</v>
      </c>
      <c r="CR50" s="12">
        <v>40000</v>
      </c>
      <c r="CS50" s="12">
        <v>40000</v>
      </c>
    </row>
    <row r="51" spans="1:97" x14ac:dyDescent="0.3">
      <c r="A51" s="4" t="s">
        <v>16</v>
      </c>
      <c r="B51" s="12">
        <v>-131.9</v>
      </c>
      <c r="C51" s="12">
        <v>-1700.88</v>
      </c>
      <c r="D51" s="12">
        <v>-20000.009999999998</v>
      </c>
      <c r="E51" s="12">
        <v>-3620.1799999999994</v>
      </c>
      <c r="F51" s="12">
        <v>-4444.4399999999996</v>
      </c>
      <c r="G51" s="12">
        <v>-16844.769999999997</v>
      </c>
      <c r="H51" s="12">
        <v>-8961.11</v>
      </c>
      <c r="I51" s="12">
        <v>-8886.08</v>
      </c>
      <c r="J51" s="12">
        <v>-36395.43</v>
      </c>
      <c r="K51" s="12">
        <v>-26849.98</v>
      </c>
      <c r="L51" s="12">
        <v>-30181.49</v>
      </c>
      <c r="M51" s="12">
        <v>-103074.56</v>
      </c>
      <c r="N51" s="12">
        <v>0</v>
      </c>
      <c r="O51" s="12">
        <v>10753.72</v>
      </c>
      <c r="P51" s="12">
        <v>0</v>
      </c>
      <c r="Q51" s="12">
        <v>-18204.14</v>
      </c>
      <c r="R51" s="12">
        <v>7.0000000000000007E-2</v>
      </c>
      <c r="S51" s="12">
        <v>-16082.4</v>
      </c>
      <c r="T51" s="12">
        <v>0.04</v>
      </c>
      <c r="U51" s="12">
        <v>-2842.32</v>
      </c>
      <c r="V51" s="12">
        <v>-6958.75</v>
      </c>
      <c r="W51" s="12">
        <v>-15417.4</v>
      </c>
      <c r="X51" s="12">
        <v>-6958.75</v>
      </c>
      <c r="Y51" s="12">
        <v>-24505.15</v>
      </c>
      <c r="Z51" s="12">
        <v>0</v>
      </c>
      <c r="AA51" s="12">
        <v>-1715.08</v>
      </c>
      <c r="AB51" s="12">
        <v>-0.09</v>
      </c>
      <c r="AC51" s="12">
        <v>1575.1699999999998</v>
      </c>
      <c r="AD51" s="12">
        <v>-1280.9100000000001</v>
      </c>
      <c r="AE51" s="12">
        <v>0.94</v>
      </c>
      <c r="AF51" s="12">
        <v>3557.63</v>
      </c>
      <c r="AG51" s="12">
        <v>-162.56999999999994</v>
      </c>
      <c r="AH51" s="12">
        <v>235.01</v>
      </c>
      <c r="AI51" s="12">
        <v>0.95</v>
      </c>
      <c r="AJ51" s="12">
        <v>-435.75</v>
      </c>
      <c r="AK51" s="12">
        <v>-7147.29</v>
      </c>
      <c r="AL51" s="12">
        <v>-1049.05</v>
      </c>
      <c r="AM51" s="12">
        <v>-621.29999999999995</v>
      </c>
      <c r="AN51" s="12">
        <v>2984.6299999999997</v>
      </c>
      <c r="AO51" s="12">
        <v>-0.02</v>
      </c>
      <c r="AP51" s="12">
        <v>6008.52</v>
      </c>
      <c r="AQ51" s="12">
        <v>-5011.53</v>
      </c>
      <c r="AR51" s="12">
        <v>966.56</v>
      </c>
      <c r="AS51" s="12">
        <v>0.73</v>
      </c>
      <c r="AT51" s="12">
        <v>12200.21</v>
      </c>
      <c r="AU51" s="12">
        <v>-25187.11</v>
      </c>
      <c r="AV51" s="12">
        <v>-7265.38</v>
      </c>
      <c r="AW51" s="12">
        <v>-67239.63</v>
      </c>
      <c r="AX51" s="12">
        <v>-18765.580000000002</v>
      </c>
      <c r="AY51" s="12">
        <v>-549.73</v>
      </c>
      <c r="AZ51" s="12">
        <v>-23134.65</v>
      </c>
      <c r="BA51" s="12">
        <v>-16095.36</v>
      </c>
      <c r="BB51" s="12">
        <v>-1909.35</v>
      </c>
      <c r="BC51" s="12">
        <v>-71140</v>
      </c>
      <c r="BD51" s="12">
        <v>-4096.55</v>
      </c>
      <c r="BE51" s="12">
        <v>-31073.510000000002</v>
      </c>
      <c r="BF51" s="12">
        <v>4905.03</v>
      </c>
      <c r="BG51" s="12">
        <v>-0.01</v>
      </c>
      <c r="BH51" s="12">
        <v>1302.0999999999999</v>
      </c>
      <c r="BI51" s="12">
        <v>-3623.3399999999997</v>
      </c>
      <c r="BJ51" s="12">
        <v>-17438.98</v>
      </c>
      <c r="BK51" s="12">
        <v>-13754.19</v>
      </c>
      <c r="BL51" s="12">
        <v>925.78</v>
      </c>
      <c r="BM51" s="12">
        <v>-5207.03</v>
      </c>
      <c r="BN51" s="12">
        <v>-2903.3500000000004</v>
      </c>
      <c r="BO51" s="12">
        <v>-34.86</v>
      </c>
      <c r="BP51" s="12">
        <v>-35831.79</v>
      </c>
      <c r="BQ51" s="12">
        <v>1826.61</v>
      </c>
      <c r="BR51" s="12">
        <v>-6521.46</v>
      </c>
      <c r="BS51" s="12">
        <v>-20671.259999999998</v>
      </c>
      <c r="BT51" s="12">
        <v>-17286.489999999998</v>
      </c>
      <c r="BU51" s="12">
        <v>-15039.71</v>
      </c>
      <c r="BV51" s="12">
        <v>-22312.83</v>
      </c>
      <c r="BW51" s="12">
        <v>-25503.13</v>
      </c>
      <c r="BX51" s="12">
        <v>6.18</v>
      </c>
      <c r="BY51" s="12">
        <v>-4817.38</v>
      </c>
      <c r="BZ51" s="12">
        <v>-21200.739999999998</v>
      </c>
      <c r="CA51" s="18"/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-8750</v>
      </c>
      <c r="CI51" s="12">
        <v>-8750</v>
      </c>
      <c r="CJ51" s="12">
        <v>-8750</v>
      </c>
      <c r="CK51" s="12">
        <v>-8750</v>
      </c>
      <c r="CL51" s="12">
        <v>-8750</v>
      </c>
      <c r="CM51" s="12">
        <v>-8750</v>
      </c>
      <c r="CN51" s="12">
        <v>-8750</v>
      </c>
      <c r="CO51" s="12">
        <v>-8750</v>
      </c>
      <c r="CP51" s="12">
        <v>-8750</v>
      </c>
      <c r="CQ51" s="12">
        <v>-8750</v>
      </c>
      <c r="CR51" s="12">
        <v>-8750</v>
      </c>
      <c r="CS51" s="12">
        <v>-8750</v>
      </c>
    </row>
    <row r="52" spans="1:97" x14ac:dyDescent="0.3">
      <c r="A52" s="4" t="s">
        <v>59</v>
      </c>
      <c r="CA52" s="18"/>
    </row>
    <row r="53" spans="1:97" x14ac:dyDescent="0.3">
      <c r="A53" s="6" t="s">
        <v>18</v>
      </c>
      <c r="B53" s="13">
        <f>B51+B50+B49+B47+B41+B33+B32+B52</f>
        <v>1483366.66</v>
      </c>
      <c r="C53" s="13">
        <f t="shared" ref="C53:BN53" si="32">C51+C50+C49+C47+C41+C33+C32+C52</f>
        <v>1470130.01</v>
      </c>
      <c r="D53" s="13">
        <f t="shared" si="32"/>
        <v>1667943.5100000002</v>
      </c>
      <c r="E53" s="13">
        <f t="shared" si="32"/>
        <v>1732067.6100000003</v>
      </c>
      <c r="F53" s="13">
        <f t="shared" si="32"/>
        <v>1685717.28</v>
      </c>
      <c r="G53" s="13">
        <f t="shared" si="32"/>
        <v>1578846.3</v>
      </c>
      <c r="H53" s="13">
        <f t="shared" si="32"/>
        <v>1656673.8900000001</v>
      </c>
      <c r="I53" s="13">
        <f t="shared" si="32"/>
        <v>1603533.42</v>
      </c>
      <c r="J53" s="13">
        <f t="shared" si="32"/>
        <v>1689891.09</v>
      </c>
      <c r="K53" s="13">
        <f t="shared" si="32"/>
        <v>1669128.82</v>
      </c>
      <c r="L53" s="13">
        <f t="shared" si="32"/>
        <v>1636873.6500000001</v>
      </c>
      <c r="M53" s="13">
        <f t="shared" si="32"/>
        <v>826824.15</v>
      </c>
      <c r="N53" s="13">
        <f t="shared" si="32"/>
        <v>1598631.7699999998</v>
      </c>
      <c r="O53" s="13">
        <f t="shared" si="32"/>
        <v>1696806.7000000002</v>
      </c>
      <c r="P53" s="13">
        <f t="shared" si="32"/>
        <v>1856366.9000000001</v>
      </c>
      <c r="Q53" s="13">
        <f t="shared" si="32"/>
        <v>1681548.7999999998</v>
      </c>
      <c r="R53" s="13">
        <f t="shared" si="32"/>
        <v>1573599.4900000002</v>
      </c>
      <c r="S53" s="13">
        <f t="shared" si="32"/>
        <v>1636874.9299999997</v>
      </c>
      <c r="T53" s="13">
        <f t="shared" si="32"/>
        <v>1698081.19</v>
      </c>
      <c r="U53" s="13">
        <f t="shared" si="32"/>
        <v>1683189.73</v>
      </c>
      <c r="V53" s="13">
        <f t="shared" si="32"/>
        <v>1569746.28</v>
      </c>
      <c r="W53" s="13">
        <f t="shared" si="32"/>
        <v>1516615.5299999998</v>
      </c>
      <c r="X53" s="13">
        <f t="shared" si="32"/>
        <v>1562748.54</v>
      </c>
      <c r="Y53" s="13">
        <f t="shared" si="32"/>
        <v>866901.12</v>
      </c>
      <c r="Z53" s="13">
        <f t="shared" si="32"/>
        <v>1680616.31</v>
      </c>
      <c r="AA53" s="13">
        <f t="shared" si="32"/>
        <v>1456161</v>
      </c>
      <c r="AB53" s="13">
        <f t="shared" si="32"/>
        <v>1557016.22</v>
      </c>
      <c r="AC53" s="13">
        <f t="shared" si="32"/>
        <v>1410657.4</v>
      </c>
      <c r="AD53" s="13">
        <f t="shared" si="32"/>
        <v>1516906.93</v>
      </c>
      <c r="AE53" s="13">
        <f t="shared" si="32"/>
        <v>1605023.25</v>
      </c>
      <c r="AF53" s="13">
        <f t="shared" si="32"/>
        <v>1516184.7700000003</v>
      </c>
      <c r="AG53" s="13">
        <f t="shared" si="32"/>
        <v>1586069.36</v>
      </c>
      <c r="AH53" s="13">
        <f t="shared" si="32"/>
        <v>1716740.08</v>
      </c>
      <c r="AI53" s="13">
        <f t="shared" si="32"/>
        <v>1796525.69</v>
      </c>
      <c r="AJ53" s="13">
        <f t="shared" si="32"/>
        <v>1706765.7799999998</v>
      </c>
      <c r="AK53" s="13">
        <f t="shared" si="32"/>
        <v>1555006.7999999998</v>
      </c>
      <c r="AL53" s="13">
        <f t="shared" si="32"/>
        <v>1732660.4</v>
      </c>
      <c r="AM53" s="13">
        <f t="shared" si="32"/>
        <v>1696946.51</v>
      </c>
      <c r="AN53" s="13">
        <f t="shared" si="32"/>
        <v>1838700.1700000002</v>
      </c>
      <c r="AO53" s="13">
        <f t="shared" si="32"/>
        <v>1804791.41</v>
      </c>
      <c r="AP53" s="13">
        <f t="shared" si="32"/>
        <v>1799716.9299999997</v>
      </c>
      <c r="AQ53" s="13">
        <f t="shared" si="32"/>
        <v>1808578</v>
      </c>
      <c r="AR53" s="13">
        <f t="shared" si="32"/>
        <v>1800206.1600000001</v>
      </c>
      <c r="AS53" s="13">
        <f t="shared" si="32"/>
        <v>1725925.9500000002</v>
      </c>
      <c r="AT53" s="13">
        <f t="shared" si="32"/>
        <v>1787768.8900000001</v>
      </c>
      <c r="AU53" s="13">
        <f t="shared" si="32"/>
        <v>1833230.3499999999</v>
      </c>
      <c r="AV53" s="13">
        <f t="shared" si="32"/>
        <v>1968343.96</v>
      </c>
      <c r="AW53" s="13">
        <f t="shared" si="32"/>
        <v>872724.24</v>
      </c>
      <c r="AX53" s="13">
        <f t="shared" si="32"/>
        <v>1902399.74</v>
      </c>
      <c r="AY53" s="13">
        <f t="shared" si="32"/>
        <v>1893786.6300000001</v>
      </c>
      <c r="AZ53" s="13">
        <f t="shared" si="32"/>
        <v>2065113.6999999997</v>
      </c>
      <c r="BA53" s="13">
        <f t="shared" si="32"/>
        <v>1789539.52</v>
      </c>
      <c r="BB53" s="13">
        <f t="shared" si="32"/>
        <v>1877408.35</v>
      </c>
      <c r="BC53" s="13">
        <f t="shared" si="32"/>
        <v>1755524.77</v>
      </c>
      <c r="BD53" s="13">
        <f t="shared" si="32"/>
        <v>1949055.1199999999</v>
      </c>
      <c r="BE53" s="13">
        <f t="shared" si="32"/>
        <v>1744209.95</v>
      </c>
      <c r="BF53" s="13">
        <f t="shared" si="32"/>
        <v>1892147.7799999998</v>
      </c>
      <c r="BG53" s="13">
        <f t="shared" si="32"/>
        <v>1842690.31</v>
      </c>
      <c r="BH53" s="13">
        <f t="shared" si="32"/>
        <v>1822926.9</v>
      </c>
      <c r="BI53" s="13">
        <f t="shared" si="32"/>
        <v>-331795.63000000006</v>
      </c>
      <c r="BJ53" s="13">
        <f t="shared" si="32"/>
        <v>1778248.19</v>
      </c>
      <c r="BK53" s="13">
        <f t="shared" si="32"/>
        <v>1734536.9900000002</v>
      </c>
      <c r="BL53" s="13">
        <f t="shared" si="32"/>
        <v>1723982.99</v>
      </c>
      <c r="BM53" s="13">
        <f t="shared" si="32"/>
        <v>1687010.1600000001</v>
      </c>
      <c r="BN53" s="13">
        <f t="shared" si="32"/>
        <v>1698487.0099999998</v>
      </c>
      <c r="BO53" s="13">
        <f t="shared" ref="BO53:CS53" si="33">BO51+BO50+BO49+BO47+BO41+BO33+BO32+BO52</f>
        <v>1780242.9200000004</v>
      </c>
      <c r="BP53" s="13">
        <f t="shared" si="33"/>
        <v>1637843.9</v>
      </c>
      <c r="BQ53" s="13">
        <f t="shared" si="33"/>
        <v>1732569.4000000001</v>
      </c>
      <c r="BR53" s="13">
        <f t="shared" si="33"/>
        <v>1762665.1600000001</v>
      </c>
      <c r="BS53" s="13">
        <f t="shared" si="33"/>
        <v>1785798.26</v>
      </c>
      <c r="BT53" s="13">
        <f t="shared" si="33"/>
        <v>1717093.3199999998</v>
      </c>
      <c r="BU53" s="13">
        <f t="shared" si="33"/>
        <v>1080227.79</v>
      </c>
      <c r="BV53" s="13">
        <f t="shared" si="33"/>
        <v>1899763.72</v>
      </c>
      <c r="BW53" s="13">
        <f t="shared" si="33"/>
        <v>1643506.62</v>
      </c>
      <c r="BX53" s="13">
        <f t="shared" si="33"/>
        <v>1963239.87</v>
      </c>
      <c r="BY53" s="13">
        <f t="shared" si="33"/>
        <v>1808600.2100000002</v>
      </c>
      <c r="BZ53" s="13">
        <f t="shared" si="33"/>
        <v>1771263.35</v>
      </c>
      <c r="CA53" s="13">
        <f t="shared" si="33"/>
        <v>0</v>
      </c>
      <c r="CB53" s="13">
        <f t="shared" si="33"/>
        <v>0</v>
      </c>
      <c r="CC53" s="13">
        <f t="shared" si="33"/>
        <v>0</v>
      </c>
      <c r="CD53" s="13">
        <f t="shared" si="33"/>
        <v>0</v>
      </c>
      <c r="CE53" s="13">
        <f t="shared" si="33"/>
        <v>0</v>
      </c>
      <c r="CF53" s="13">
        <f t="shared" si="33"/>
        <v>0</v>
      </c>
      <c r="CG53" s="13">
        <f t="shared" si="33"/>
        <v>0</v>
      </c>
      <c r="CH53" s="13">
        <f t="shared" si="33"/>
        <v>1888712</v>
      </c>
      <c r="CI53" s="13">
        <f t="shared" si="33"/>
        <v>1888712</v>
      </c>
      <c r="CJ53" s="13">
        <f t="shared" si="33"/>
        <v>1888712</v>
      </c>
      <c r="CK53" s="13">
        <f t="shared" si="33"/>
        <v>1888712</v>
      </c>
      <c r="CL53" s="13">
        <f t="shared" si="33"/>
        <v>1888712</v>
      </c>
      <c r="CM53" s="13">
        <f t="shared" si="33"/>
        <v>1888712</v>
      </c>
      <c r="CN53" s="13">
        <f t="shared" si="33"/>
        <v>1888712</v>
      </c>
      <c r="CO53" s="13">
        <f t="shared" si="33"/>
        <v>1888712</v>
      </c>
      <c r="CP53" s="13">
        <f t="shared" si="33"/>
        <v>1888712</v>
      </c>
      <c r="CQ53" s="13">
        <f t="shared" si="33"/>
        <v>1888712</v>
      </c>
      <c r="CR53" s="13">
        <f t="shared" si="33"/>
        <v>1888712</v>
      </c>
      <c r="CS53" s="13">
        <f t="shared" si="33"/>
        <v>1888712</v>
      </c>
    </row>
    <row r="54" spans="1:97" x14ac:dyDescent="0.3">
      <c r="A54" s="4"/>
      <c r="CA54" s="25"/>
    </row>
    <row r="55" spans="1:97" x14ac:dyDescent="0.3">
      <c r="A55" s="6" t="s">
        <v>17</v>
      </c>
      <c r="B55" s="9">
        <f>B20-B53</f>
        <v>-79670.780000002822</v>
      </c>
      <c r="C55" s="9">
        <f t="shared" ref="C55:BN55" si="34">C20-C53</f>
        <v>4823.8399999996182</v>
      </c>
      <c r="D55" s="9">
        <f t="shared" si="34"/>
        <v>876592.98</v>
      </c>
      <c r="E55" s="9">
        <f t="shared" si="34"/>
        <v>701756.02000000235</v>
      </c>
      <c r="F55" s="9">
        <f t="shared" si="34"/>
        <v>521166.83000000124</v>
      </c>
      <c r="G55" s="9">
        <f t="shared" si="34"/>
        <v>354753.66000000271</v>
      </c>
      <c r="H55" s="9">
        <f t="shared" si="34"/>
        <v>147051.41999999667</v>
      </c>
      <c r="I55" s="9">
        <f t="shared" si="34"/>
        <v>-75671.749999996275</v>
      </c>
      <c r="J55" s="9">
        <f t="shared" si="34"/>
        <v>314727.37000000267</v>
      </c>
      <c r="K55" s="9">
        <f t="shared" si="34"/>
        <v>234691.42000000016</v>
      </c>
      <c r="L55" s="9">
        <f t="shared" si="34"/>
        <v>241428.11999999941</v>
      </c>
      <c r="M55" s="9">
        <f t="shared" si="34"/>
        <v>931075.04000000318</v>
      </c>
      <c r="N55" s="9">
        <f t="shared" si="34"/>
        <v>-276238.92999999993</v>
      </c>
      <c r="O55" s="9">
        <f t="shared" si="34"/>
        <v>450236.74000000115</v>
      </c>
      <c r="P55" s="9">
        <f t="shared" si="34"/>
        <v>1316869.4900000005</v>
      </c>
      <c r="Q55" s="9">
        <f t="shared" si="34"/>
        <v>395627.41999999899</v>
      </c>
      <c r="R55" s="9">
        <f t="shared" si="34"/>
        <v>-63575.63000000082</v>
      </c>
      <c r="S55" s="9">
        <f t="shared" si="34"/>
        <v>398548.27999999933</v>
      </c>
      <c r="T55" s="9">
        <f t="shared" si="34"/>
        <v>88294.40000000177</v>
      </c>
      <c r="U55" s="9">
        <f t="shared" si="34"/>
        <v>118100.76000000024</v>
      </c>
      <c r="V55" s="9">
        <f t="shared" si="34"/>
        <v>148418.55000000377</v>
      </c>
      <c r="W55" s="9">
        <f t="shared" si="34"/>
        <v>269161.87999999849</v>
      </c>
      <c r="X55" s="9">
        <f t="shared" si="34"/>
        <v>330131.43999999855</v>
      </c>
      <c r="Y55" s="9">
        <f t="shared" si="34"/>
        <v>1516100.4000000013</v>
      </c>
      <c r="Z55" s="9">
        <f t="shared" si="34"/>
        <v>933726.35999999987</v>
      </c>
      <c r="AA55" s="9">
        <f t="shared" si="34"/>
        <v>1078125.2599999998</v>
      </c>
      <c r="AB55" s="9">
        <f t="shared" si="34"/>
        <v>1210928.5100000023</v>
      </c>
      <c r="AC55" s="9">
        <f t="shared" si="34"/>
        <v>705688.37000000151</v>
      </c>
      <c r="AD55" s="9">
        <f t="shared" si="34"/>
        <v>586216.24</v>
      </c>
      <c r="AE55" s="9">
        <f t="shared" si="34"/>
        <v>-134154.94999999925</v>
      </c>
      <c r="AF55" s="9">
        <f t="shared" si="34"/>
        <v>-185985.89999999921</v>
      </c>
      <c r="AG55" s="9">
        <f t="shared" si="34"/>
        <v>587616.22999999975</v>
      </c>
      <c r="AH55" s="9">
        <f t="shared" si="34"/>
        <v>481125.43999999575</v>
      </c>
      <c r="AI55" s="9">
        <f t="shared" si="34"/>
        <v>352792.81999999983</v>
      </c>
      <c r="AJ55" s="9">
        <f t="shared" si="34"/>
        <v>-233095.9299999983</v>
      </c>
      <c r="AK55" s="9">
        <f t="shared" si="34"/>
        <v>-315711.42000000272</v>
      </c>
      <c r="AL55" s="9">
        <f t="shared" si="34"/>
        <v>-1414.430000001099</v>
      </c>
      <c r="AM55" s="9">
        <f t="shared" si="34"/>
        <v>-296228.72999999882</v>
      </c>
      <c r="AN55" s="9">
        <f t="shared" si="34"/>
        <v>-14825.660000000382</v>
      </c>
      <c r="AO55" s="9">
        <f t="shared" si="34"/>
        <v>492196.58999999636</v>
      </c>
      <c r="AP55" s="9">
        <f t="shared" si="34"/>
        <v>-137034.94999999739</v>
      </c>
      <c r="AQ55" s="9">
        <f t="shared" si="34"/>
        <v>-1040.0499999988824</v>
      </c>
      <c r="AR55" s="9">
        <f t="shared" si="34"/>
        <v>-908279.67000000179</v>
      </c>
      <c r="AS55" s="9">
        <f t="shared" si="34"/>
        <v>-514950.75999999885</v>
      </c>
      <c r="AT55" s="9">
        <f t="shared" si="34"/>
        <v>-746511.43999999715</v>
      </c>
      <c r="AU55" s="9">
        <f t="shared" si="34"/>
        <v>-786856.03999999934</v>
      </c>
      <c r="AV55" s="9">
        <f t="shared" si="34"/>
        <v>-959776.24999999721</v>
      </c>
      <c r="AW55" s="9">
        <f t="shared" si="34"/>
        <v>-1135898.2700000003</v>
      </c>
      <c r="AX55" s="9">
        <f t="shared" si="34"/>
        <v>-496649.58999999589</v>
      </c>
      <c r="AY55" s="9">
        <f t="shared" si="34"/>
        <v>386107.66000000271</v>
      </c>
      <c r="AZ55" s="9">
        <f t="shared" si="34"/>
        <v>261592.2399999979</v>
      </c>
      <c r="BA55" s="9">
        <f t="shared" si="34"/>
        <v>400617.76999999909</v>
      </c>
      <c r="BB55" s="9">
        <f t="shared" si="34"/>
        <v>631345.00999999745</v>
      </c>
      <c r="BC55" s="9">
        <f t="shared" si="34"/>
        <v>256645.81999999983</v>
      </c>
      <c r="BD55" s="9">
        <f t="shared" si="34"/>
        <v>90216.780000000494</v>
      </c>
      <c r="BE55" s="9">
        <f t="shared" si="34"/>
        <v>-585336.15000000293</v>
      </c>
      <c r="BF55" s="9">
        <f t="shared" si="34"/>
        <v>-571769.69999999972</v>
      </c>
      <c r="BG55" s="9">
        <f t="shared" si="34"/>
        <v>-527991.99999999953</v>
      </c>
      <c r="BH55" s="9">
        <f t="shared" si="34"/>
        <v>-670002.03000000073</v>
      </c>
      <c r="BI55" s="9">
        <f t="shared" si="34"/>
        <v>606562.65000000247</v>
      </c>
      <c r="BJ55" s="9">
        <f t="shared" si="34"/>
        <v>-115697.82000000076</v>
      </c>
      <c r="BK55" s="9">
        <f t="shared" si="34"/>
        <v>-163550.83999999799</v>
      </c>
      <c r="BL55" s="9">
        <f t="shared" si="34"/>
        <v>-53325.279999999097</v>
      </c>
      <c r="BM55" s="9">
        <f t="shared" si="34"/>
        <v>-971895.8200000003</v>
      </c>
      <c r="BN55" s="9">
        <f t="shared" si="34"/>
        <v>-360517.42000000365</v>
      </c>
      <c r="BO55" s="9">
        <f t="shared" ref="BO55:BX55" si="35">BO20-BO53</f>
        <v>-627658.9599999995</v>
      </c>
      <c r="BP55" s="9">
        <f t="shared" si="35"/>
        <v>-527120.7900000005</v>
      </c>
      <c r="BQ55" s="9">
        <f t="shared" si="35"/>
        <v>-494497.24</v>
      </c>
      <c r="BR55" s="9">
        <f t="shared" si="35"/>
        <v>-519851.80999999866</v>
      </c>
      <c r="BS55" s="9">
        <f t="shared" si="35"/>
        <v>-654328.1699999983</v>
      </c>
      <c r="BT55" s="9">
        <f t="shared" si="35"/>
        <v>-773895.97000000207</v>
      </c>
      <c r="BU55" s="9">
        <f t="shared" si="35"/>
        <v>-549195.21000000183</v>
      </c>
      <c r="BV55" s="9">
        <f t="shared" si="35"/>
        <v>19050.510000000475</v>
      </c>
      <c r="BW55" s="9">
        <f t="shared" si="35"/>
        <v>-125060.11000000034</v>
      </c>
      <c r="BX55" s="9">
        <f t="shared" si="35"/>
        <v>-435579.07999999728</v>
      </c>
      <c r="BY55" s="27">
        <f>BY20-BY53</f>
        <v>-479355.53999999654</v>
      </c>
      <c r="BZ55" s="27">
        <f>BZ20-BZ53</f>
        <v>-210087.14999999898</v>
      </c>
      <c r="CA55" s="18"/>
      <c r="CB55" s="9"/>
      <c r="CC55" s="9"/>
      <c r="CD55" s="9"/>
      <c r="CE55" s="9"/>
      <c r="CF55" s="9"/>
      <c r="CG55" s="9"/>
      <c r="CH55" s="9">
        <f>CH20-CH53</f>
        <v>368129</v>
      </c>
      <c r="CI55" s="9">
        <f t="shared" ref="CI55:CS55" si="36">CI20-CI53</f>
        <v>368129</v>
      </c>
      <c r="CJ55" s="9">
        <f t="shared" si="36"/>
        <v>368129</v>
      </c>
      <c r="CK55" s="9">
        <f t="shared" si="36"/>
        <v>368129</v>
      </c>
      <c r="CL55" s="9">
        <f t="shared" si="36"/>
        <v>368129</v>
      </c>
      <c r="CM55" s="9">
        <f t="shared" si="36"/>
        <v>368129</v>
      </c>
      <c r="CN55" s="9">
        <f t="shared" si="36"/>
        <v>368129</v>
      </c>
      <c r="CO55" s="9">
        <f t="shared" si="36"/>
        <v>368129</v>
      </c>
      <c r="CP55" s="9">
        <f t="shared" si="36"/>
        <v>368129</v>
      </c>
      <c r="CQ55" s="9">
        <f t="shared" si="36"/>
        <v>368129</v>
      </c>
      <c r="CR55" s="9">
        <f t="shared" si="36"/>
        <v>368129</v>
      </c>
      <c r="CS55" s="9">
        <f t="shared" si="36"/>
        <v>368129</v>
      </c>
    </row>
    <row r="56" spans="1:97" x14ac:dyDescent="0.3">
      <c r="A56" s="6" t="s">
        <v>40</v>
      </c>
      <c r="B56" s="8">
        <f>B55/B4</f>
        <v>-6.4883975223775691E-3</v>
      </c>
      <c r="C56" s="8">
        <f t="shared" ref="C56:BN56" si="37">C55/C4</f>
        <v>4.3858194926457548E-4</v>
      </c>
      <c r="D56" s="8">
        <f t="shared" si="37"/>
        <v>6.6124189509220541E-2</v>
      </c>
      <c r="E56" s="8">
        <f t="shared" si="37"/>
        <v>5.0146842558495941E-2</v>
      </c>
      <c r="F56" s="8">
        <f t="shared" si="37"/>
        <v>3.8379534853291639E-2</v>
      </c>
      <c r="G56" s="8">
        <f t="shared" si="37"/>
        <v>3.1329735174878783E-2</v>
      </c>
      <c r="H56" s="8">
        <f t="shared" si="37"/>
        <v>1.2722495006386452E-2</v>
      </c>
      <c r="I56" s="8">
        <f t="shared" si="37"/>
        <v>-7.1676184870863363E-3</v>
      </c>
      <c r="J56" s="8">
        <f t="shared" si="37"/>
        <v>2.7156156815112381E-2</v>
      </c>
      <c r="K56" s="8">
        <f t="shared" si="37"/>
        <v>1.9600693290592174E-2</v>
      </c>
      <c r="L56" s="8">
        <f t="shared" si="37"/>
        <v>2.1492693358536662E-2</v>
      </c>
      <c r="M56" s="8">
        <f t="shared" si="37"/>
        <v>9.3277224615227208E-2</v>
      </c>
      <c r="N56" s="8">
        <f t="shared" si="37"/>
        <v>-2.7356376932281972E-2</v>
      </c>
      <c r="O56" s="8">
        <f t="shared" si="37"/>
        <v>3.7966055510161634E-2</v>
      </c>
      <c r="P56" s="8">
        <f t="shared" si="37"/>
        <v>9.990756094617359E-2</v>
      </c>
      <c r="Q56" s="8">
        <f t="shared" si="37"/>
        <v>3.6860074152223435E-2</v>
      </c>
      <c r="R56" s="8">
        <f t="shared" si="37"/>
        <v>-6.9378985291449289E-3</v>
      </c>
      <c r="S56" s="8">
        <f t="shared" si="37"/>
        <v>3.8518863802175167E-2</v>
      </c>
      <c r="T56" s="8">
        <f t="shared" si="37"/>
        <v>8.7562676191891529E-3</v>
      </c>
      <c r="U56" s="8">
        <f t="shared" si="37"/>
        <v>1.1222981650919421E-2</v>
      </c>
      <c r="V56" s="8">
        <f t="shared" si="37"/>
        <v>1.3653937404488659E-2</v>
      </c>
      <c r="W56" s="8">
        <f t="shared" si="37"/>
        <v>2.2818650446633813E-2</v>
      </c>
      <c r="X56" s="8">
        <f t="shared" si="37"/>
        <v>2.7816277005729757E-2</v>
      </c>
      <c r="Y56" s="8">
        <f t="shared" si="37"/>
        <v>0.14069206035965276</v>
      </c>
      <c r="Z56" s="8">
        <f t="shared" si="37"/>
        <v>7.4203392821092201E-2</v>
      </c>
      <c r="AA56" s="8">
        <f t="shared" si="37"/>
        <v>8.7534851254284729E-2</v>
      </c>
      <c r="AB56" s="8">
        <f t="shared" si="37"/>
        <v>8.9778354908662178E-2</v>
      </c>
      <c r="AC56" s="8">
        <f t="shared" si="37"/>
        <v>5.7480425057488793E-2</v>
      </c>
      <c r="AD56" s="8">
        <f t="shared" si="37"/>
        <v>4.9043242785913328E-2</v>
      </c>
      <c r="AE56" s="8">
        <f t="shared" si="37"/>
        <v>-1.1241914119007664E-2</v>
      </c>
      <c r="AF56" s="8">
        <f t="shared" si="37"/>
        <v>-1.5376376875710725E-2</v>
      </c>
      <c r="AG56" s="8">
        <f t="shared" si="37"/>
        <v>4.4473474938738627E-2</v>
      </c>
      <c r="AH56" s="8">
        <f t="shared" si="37"/>
        <v>3.9530018373001352E-2</v>
      </c>
      <c r="AI56" s="8">
        <f t="shared" si="37"/>
        <v>2.7626457848994188E-2</v>
      </c>
      <c r="AJ56" s="8">
        <f t="shared" si="37"/>
        <v>-1.9231005394278855E-2</v>
      </c>
      <c r="AK56" s="8">
        <f t="shared" si="37"/>
        <v>-2.9304677807237813E-2</v>
      </c>
      <c r="AL56" s="8">
        <f t="shared" si="37"/>
        <v>-1.1391404528874448E-4</v>
      </c>
      <c r="AM56" s="8">
        <f t="shared" si="37"/>
        <v>-2.4400882959080245E-2</v>
      </c>
      <c r="AN56" s="8">
        <f t="shared" si="37"/>
        <v>-1.0470396396426685E-3</v>
      </c>
      <c r="AO56" s="8">
        <f t="shared" si="37"/>
        <v>3.2786217585808075E-2</v>
      </c>
      <c r="AP56" s="8">
        <f t="shared" si="37"/>
        <v>-1.0435421337282638E-2</v>
      </c>
      <c r="AQ56" s="8">
        <f t="shared" si="37"/>
        <v>-7.9739447626770248E-5</v>
      </c>
      <c r="AR56" s="8">
        <f t="shared" si="37"/>
        <v>-7.8545629168718656E-2</v>
      </c>
      <c r="AS56" s="8">
        <f t="shared" si="37"/>
        <v>-4.0472907976040341E-2</v>
      </c>
      <c r="AT56" s="8">
        <f t="shared" si="37"/>
        <v>-6.5260342153007994E-2</v>
      </c>
      <c r="AU56" s="8">
        <f t="shared" si="37"/>
        <v>-7.1079068911000895E-2</v>
      </c>
      <c r="AV56" s="8">
        <f t="shared" si="37"/>
        <v>-7.9312021838697983E-2</v>
      </c>
      <c r="AW56" s="8">
        <f t="shared" si="37"/>
        <v>-0.15320011631196054</v>
      </c>
      <c r="AX56" s="8">
        <f t="shared" si="37"/>
        <v>-3.9360054392414218E-2</v>
      </c>
      <c r="AY56" s="8">
        <f t="shared" si="37"/>
        <v>3.147791341074279E-2</v>
      </c>
      <c r="AZ56" s="8">
        <f t="shared" si="37"/>
        <v>2.0823420787189028E-2</v>
      </c>
      <c r="BA56" s="8">
        <f t="shared" si="37"/>
        <v>3.2446465599147101E-2</v>
      </c>
      <c r="BB56" s="8">
        <f t="shared" si="37"/>
        <v>5.3469139035735164E-2</v>
      </c>
      <c r="BC56" s="8">
        <f t="shared" si="37"/>
        <v>2.2440711583723901E-2</v>
      </c>
      <c r="BD56" s="8">
        <f t="shared" si="37"/>
        <v>7.9146590683228154E-3</v>
      </c>
      <c r="BE56" s="8">
        <f t="shared" si="37"/>
        <v>-5.7779009407993007E-2</v>
      </c>
      <c r="BF56" s="8">
        <f t="shared" si="37"/>
        <v>-5.4781664246103125E-2</v>
      </c>
      <c r="BG56" s="8">
        <f t="shared" si="37"/>
        <v>-5.0548994330710306E-2</v>
      </c>
      <c r="BH56" s="8">
        <f t="shared" si="37"/>
        <v>-6.2586110929915603E-2</v>
      </c>
      <c r="BI56" s="8">
        <f t="shared" si="37"/>
        <v>7.7618296508876861E-2</v>
      </c>
      <c r="BJ56" s="8">
        <f t="shared" si="37"/>
        <v>-9.5671915005977066E-3</v>
      </c>
      <c r="BK56" s="8">
        <f t="shared" si="37"/>
        <v>-1.4112523028447253E-2</v>
      </c>
      <c r="BL56" s="8">
        <f t="shared" si="37"/>
        <v>-4.440071763905604E-3</v>
      </c>
      <c r="BM56" s="8">
        <f t="shared" si="37"/>
        <v>-0.11008935751103421</v>
      </c>
      <c r="BN56" s="8">
        <f t="shared" si="37"/>
        <v>-2.9989655524516292E-2</v>
      </c>
      <c r="BO56" s="8">
        <f t="shared" ref="BO56:CS56" si="38">BO55/BO4</f>
        <v>-5.992028873817877E-2</v>
      </c>
      <c r="BP56" s="8">
        <f t="shared" si="38"/>
        <v>-4.6035719058439617E-2</v>
      </c>
      <c r="BQ56" s="8">
        <f t="shared" si="38"/>
        <v>-4.3597159825526734E-2</v>
      </c>
      <c r="BR56" s="8">
        <f t="shared" si="38"/>
        <v>-4.4781097911751146E-2</v>
      </c>
      <c r="BS56" s="8">
        <f t="shared" si="38"/>
        <v>-5.4232676152270155E-2</v>
      </c>
      <c r="BT56" s="8">
        <f t="shared" si="38"/>
        <v>-6.5922777867133506E-2</v>
      </c>
      <c r="BU56" s="8">
        <f t="shared" si="38"/>
        <v>-5.7526305635783981E-2</v>
      </c>
      <c r="BV56" s="8">
        <f t="shared" si="38"/>
        <v>1.4323232147419988E-3</v>
      </c>
      <c r="BW56" s="8">
        <f t="shared" si="38"/>
        <v>-9.8312241448112372E-3</v>
      </c>
      <c r="BX56" s="8">
        <f t="shared" si="38"/>
        <v>-3.5058811884812073E-2</v>
      </c>
      <c r="BY56" s="28">
        <f t="shared" si="38"/>
        <v>-3.9597694420303135E-2</v>
      </c>
      <c r="BZ56" s="28">
        <f t="shared" ref="BZ56" si="39">BZ55/BZ4</f>
        <v>-1.6831649406342016E-2</v>
      </c>
      <c r="CA56" s="26"/>
      <c r="CB56" s="8"/>
      <c r="CC56" s="8"/>
      <c r="CD56" s="8"/>
      <c r="CE56" s="8"/>
      <c r="CF56" s="8"/>
      <c r="CG56" s="8"/>
      <c r="CH56" s="8">
        <f t="shared" si="38"/>
        <v>2.4843450004892714E-2</v>
      </c>
      <c r="CI56" s="8">
        <f t="shared" si="38"/>
        <v>2.4843450004892714E-2</v>
      </c>
      <c r="CJ56" s="8">
        <f t="shared" si="38"/>
        <v>2.4843450004892714E-2</v>
      </c>
      <c r="CK56" s="8">
        <f t="shared" si="38"/>
        <v>2.4843450004892714E-2</v>
      </c>
      <c r="CL56" s="8">
        <f t="shared" si="38"/>
        <v>2.4843450004892714E-2</v>
      </c>
      <c r="CM56" s="8">
        <f t="shared" si="38"/>
        <v>2.4843450004892714E-2</v>
      </c>
      <c r="CN56" s="8">
        <f t="shared" si="38"/>
        <v>2.4843450004892714E-2</v>
      </c>
      <c r="CO56" s="8">
        <f t="shared" si="38"/>
        <v>2.4843450004892714E-2</v>
      </c>
      <c r="CP56" s="8">
        <f t="shared" si="38"/>
        <v>2.4843450004892714E-2</v>
      </c>
      <c r="CQ56" s="8">
        <f t="shared" si="38"/>
        <v>2.4843450004892714E-2</v>
      </c>
      <c r="CR56" s="8">
        <f t="shared" si="38"/>
        <v>2.4843450004892714E-2</v>
      </c>
      <c r="CS56" s="8">
        <f t="shared" si="38"/>
        <v>2.4843450004892714E-2</v>
      </c>
    </row>
    <row r="57" spans="1:97" x14ac:dyDescent="0.3">
      <c r="A57" s="6" t="s">
        <v>54</v>
      </c>
      <c r="B57" s="9">
        <f>B55+B11+B43+B45+B52</f>
        <v>807284.42999999702</v>
      </c>
      <c r="C57" s="9">
        <f>C55+C11+C43+C45+C52</f>
        <v>863584.79999999958</v>
      </c>
      <c r="D57" s="9">
        <f>D55+D11+D43+D45+D52</f>
        <v>1793331.79</v>
      </c>
      <c r="E57" s="9">
        <f t="shared" ref="E57:BP57" si="40">E55+E11+E43+E45+E52</f>
        <v>1555961.6100000022</v>
      </c>
      <c r="F57" s="9">
        <f t="shared" si="40"/>
        <v>1384252.8300000012</v>
      </c>
      <c r="G57" s="9">
        <f t="shared" si="40"/>
        <v>1210287.1300000027</v>
      </c>
      <c r="H57" s="9">
        <f t="shared" si="40"/>
        <v>1042951.7999999967</v>
      </c>
      <c r="I57" s="9">
        <f t="shared" si="40"/>
        <v>831908.98000000394</v>
      </c>
      <c r="J57" s="9">
        <f t="shared" si="40"/>
        <v>1236203.2400000026</v>
      </c>
      <c r="K57" s="9">
        <f t="shared" si="40"/>
        <v>1157284.8600000003</v>
      </c>
      <c r="L57" s="9">
        <f t="shared" si="40"/>
        <v>1152096.3799999994</v>
      </c>
      <c r="M57" s="9">
        <f t="shared" si="40"/>
        <v>1832863.1100000031</v>
      </c>
      <c r="N57" s="9">
        <f t="shared" si="40"/>
        <v>563817.38</v>
      </c>
      <c r="O57" s="9">
        <f t="shared" si="40"/>
        <v>1287336.5100000012</v>
      </c>
      <c r="P57" s="9">
        <f t="shared" si="40"/>
        <v>2168926.0400000005</v>
      </c>
      <c r="Q57" s="9">
        <f t="shared" si="40"/>
        <v>1224686.0099999991</v>
      </c>
      <c r="R57" s="9">
        <f t="shared" si="40"/>
        <v>758241.45999999915</v>
      </c>
      <c r="S57" s="9">
        <f t="shared" si="40"/>
        <v>1741657.4999999993</v>
      </c>
      <c r="T57" s="9">
        <f t="shared" si="40"/>
        <v>1045375.0200000018</v>
      </c>
      <c r="U57" s="9">
        <f t="shared" si="40"/>
        <v>1102345.7300000002</v>
      </c>
      <c r="V57" s="9">
        <f t="shared" si="40"/>
        <v>1293062.320000004</v>
      </c>
      <c r="W57" s="9">
        <f t="shared" si="40"/>
        <v>1236538.9499999983</v>
      </c>
      <c r="X57" s="9">
        <f t="shared" si="40"/>
        <v>1296873.2599999986</v>
      </c>
      <c r="Y57" s="9">
        <f t="shared" si="40"/>
        <v>2156631.1400000011</v>
      </c>
      <c r="Z57" s="9">
        <f t="shared" si="40"/>
        <v>1833657.2299999997</v>
      </c>
      <c r="AA57" s="9">
        <f t="shared" si="40"/>
        <v>1961834.9999999998</v>
      </c>
      <c r="AB57" s="9">
        <f t="shared" si="40"/>
        <v>2137536.6400000025</v>
      </c>
      <c r="AC57" s="9">
        <f t="shared" si="40"/>
        <v>1672862.4000000015</v>
      </c>
      <c r="AD57" s="9">
        <f t="shared" si="40"/>
        <v>1558019.5499999998</v>
      </c>
      <c r="AE57" s="9">
        <f t="shared" si="40"/>
        <v>828316.93000000087</v>
      </c>
      <c r="AF57" s="9">
        <f t="shared" si="40"/>
        <v>798039.00000000081</v>
      </c>
      <c r="AG57" s="9">
        <f t="shared" si="40"/>
        <v>1545998.1899999995</v>
      </c>
      <c r="AH57" s="9">
        <f t="shared" si="40"/>
        <v>1437287.2699999956</v>
      </c>
      <c r="AI57" s="9">
        <f t="shared" si="40"/>
        <v>1304415.4199999997</v>
      </c>
      <c r="AJ57" s="9">
        <f t="shared" si="40"/>
        <v>722658.57000000181</v>
      </c>
      <c r="AK57" s="9">
        <f t="shared" si="40"/>
        <v>580531.05999999715</v>
      </c>
      <c r="AL57" s="9">
        <f t="shared" si="40"/>
        <v>1112136.2599999988</v>
      </c>
      <c r="AM57" s="9">
        <f t="shared" si="40"/>
        <v>822026.58000000112</v>
      </c>
      <c r="AN57" s="9">
        <f t="shared" si="40"/>
        <v>1137715.7999999998</v>
      </c>
      <c r="AO57" s="9">
        <f t="shared" si="40"/>
        <v>1619826.7099999962</v>
      </c>
      <c r="AP57" s="9">
        <f t="shared" si="40"/>
        <v>976476.4200000026</v>
      </c>
      <c r="AQ57" s="9">
        <f t="shared" si="40"/>
        <v>1173536.4400000009</v>
      </c>
      <c r="AR57" s="9">
        <f t="shared" si="40"/>
        <v>284240.13999999827</v>
      </c>
      <c r="AS57" s="9">
        <f t="shared" si="40"/>
        <v>759938.7900000012</v>
      </c>
      <c r="AT57" s="9">
        <f t="shared" si="40"/>
        <v>587998.40000000293</v>
      </c>
      <c r="AU57" s="9">
        <f t="shared" si="40"/>
        <v>625557.23000000068</v>
      </c>
      <c r="AV57" s="9">
        <f t="shared" si="40"/>
        <v>565212.96000000276</v>
      </c>
      <c r="AW57" s="9">
        <f t="shared" si="40"/>
        <v>164387.57999999981</v>
      </c>
      <c r="AX57" s="9">
        <f t="shared" si="40"/>
        <v>917813.98000000417</v>
      </c>
      <c r="AY57" s="9">
        <f t="shared" si="40"/>
        <v>1794668.9800000028</v>
      </c>
      <c r="AZ57" s="9">
        <f t="shared" si="40"/>
        <v>1719556.0299999982</v>
      </c>
      <c r="BA57" s="9">
        <f t="shared" si="40"/>
        <v>1775159.3099999989</v>
      </c>
      <c r="BB57" s="9">
        <f t="shared" si="40"/>
        <v>2029187.2099999974</v>
      </c>
      <c r="BC57" s="9">
        <f t="shared" si="40"/>
        <v>1631042.4600000002</v>
      </c>
      <c r="BD57" s="9">
        <f t="shared" si="40"/>
        <v>1565086.5800000008</v>
      </c>
      <c r="BE57" s="9">
        <f t="shared" si="40"/>
        <v>828738.06999999715</v>
      </c>
      <c r="BF57" s="9">
        <f t="shared" si="40"/>
        <v>839988.34000000032</v>
      </c>
      <c r="BG57" s="9">
        <f t="shared" si="40"/>
        <v>905501.17000000051</v>
      </c>
      <c r="BH57" s="9">
        <f t="shared" si="40"/>
        <v>671440.74999999919</v>
      </c>
      <c r="BI57" s="9">
        <f t="shared" si="40"/>
        <v>857305.31000000238</v>
      </c>
      <c r="BJ57" s="9">
        <f t="shared" si="40"/>
        <v>1306684.9799999993</v>
      </c>
      <c r="BK57" s="9">
        <f t="shared" si="40"/>
        <v>1179051.7500000021</v>
      </c>
      <c r="BL57" s="9">
        <f t="shared" si="40"/>
        <v>1301266.070000001</v>
      </c>
      <c r="BM57" s="9">
        <f t="shared" si="40"/>
        <v>344851.19999999972</v>
      </c>
      <c r="BN57" s="9">
        <f t="shared" si="40"/>
        <v>954505.30999999633</v>
      </c>
      <c r="BO57" s="9">
        <f t="shared" si="40"/>
        <v>765341.42000000062</v>
      </c>
      <c r="BP57" s="9">
        <f t="shared" si="40"/>
        <v>738640.48999999953</v>
      </c>
      <c r="BQ57" s="9">
        <f t="shared" ref="BQ57:CS57" si="41">BQ55+BQ11+BQ43+BQ45+BQ52</f>
        <v>912104.82</v>
      </c>
      <c r="BR57" s="9">
        <f t="shared" si="41"/>
        <v>877790.07000000135</v>
      </c>
      <c r="BS57" s="9">
        <f t="shared" si="41"/>
        <v>763015.52000000176</v>
      </c>
      <c r="BT57" s="9">
        <f t="shared" si="41"/>
        <v>600179.32999999798</v>
      </c>
      <c r="BU57" s="9">
        <f t="shared" si="41"/>
        <v>719724.60999999824</v>
      </c>
      <c r="BV57" s="9">
        <f t="shared" si="41"/>
        <v>1410127.2300000004</v>
      </c>
      <c r="BW57" s="9">
        <f t="shared" si="41"/>
        <v>1124882.2599999995</v>
      </c>
      <c r="BX57" s="9">
        <f t="shared" si="41"/>
        <v>961189.4200000026</v>
      </c>
      <c r="BY57" s="9">
        <f t="shared" si="41"/>
        <v>886087.80000000354</v>
      </c>
      <c r="BZ57" s="9">
        <f t="shared" si="41"/>
        <v>1158277.860000001</v>
      </c>
      <c r="CA57" s="9">
        <f t="shared" si="41"/>
        <v>0</v>
      </c>
      <c r="CB57" s="9">
        <f t="shared" si="41"/>
        <v>0</v>
      </c>
      <c r="CC57" s="9">
        <f t="shared" si="41"/>
        <v>0</v>
      </c>
      <c r="CD57" s="9">
        <f t="shared" si="41"/>
        <v>0</v>
      </c>
      <c r="CE57" s="9">
        <f t="shared" si="41"/>
        <v>0</v>
      </c>
      <c r="CF57" s="9">
        <f t="shared" si="41"/>
        <v>0</v>
      </c>
      <c r="CG57" s="9">
        <f t="shared" si="41"/>
        <v>0</v>
      </c>
      <c r="CH57" s="9">
        <f t="shared" si="41"/>
        <v>1690493</v>
      </c>
      <c r="CI57" s="9">
        <f t="shared" si="41"/>
        <v>1690493</v>
      </c>
      <c r="CJ57" s="9">
        <f t="shared" si="41"/>
        <v>1690493</v>
      </c>
      <c r="CK57" s="9">
        <f t="shared" si="41"/>
        <v>1690493</v>
      </c>
      <c r="CL57" s="9">
        <f t="shared" si="41"/>
        <v>1690493</v>
      </c>
      <c r="CM57" s="9">
        <f t="shared" si="41"/>
        <v>1690493</v>
      </c>
      <c r="CN57" s="9">
        <f t="shared" si="41"/>
        <v>1690493</v>
      </c>
      <c r="CO57" s="9">
        <f t="shared" si="41"/>
        <v>1690493</v>
      </c>
      <c r="CP57" s="9">
        <f t="shared" si="41"/>
        <v>1690493</v>
      </c>
      <c r="CQ57" s="9">
        <f t="shared" si="41"/>
        <v>1690493</v>
      </c>
      <c r="CR57" s="9">
        <f t="shared" si="41"/>
        <v>1690493</v>
      </c>
      <c r="CS57" s="9">
        <f t="shared" si="41"/>
        <v>1690493</v>
      </c>
    </row>
    <row r="58" spans="1:97" x14ac:dyDescent="0.3">
      <c r="A58" s="6" t="s">
        <v>55</v>
      </c>
      <c r="B58" s="8">
        <f>B57/B4</f>
        <v>6.5745337192202505E-2</v>
      </c>
      <c r="C58" s="8">
        <f t="shared" ref="C58:BN58" si="42">C57/C4</f>
        <v>7.8516846524612841E-2</v>
      </c>
      <c r="D58" s="8">
        <f t="shared" si="42"/>
        <v>0.13527670633966257</v>
      </c>
      <c r="E58" s="8">
        <f t="shared" si="42"/>
        <v>0.11118759178401308</v>
      </c>
      <c r="F58" s="8">
        <f t="shared" si="42"/>
        <v>0.10193852846458495</v>
      </c>
      <c r="G58" s="8">
        <f t="shared" si="42"/>
        <v>0.10688536735171073</v>
      </c>
      <c r="H58" s="8">
        <f t="shared" si="42"/>
        <v>9.0233396368440508E-2</v>
      </c>
      <c r="I58" s="8">
        <f t="shared" si="42"/>
        <v>7.8798312244945559E-2</v>
      </c>
      <c r="J58" s="8">
        <f t="shared" si="42"/>
        <v>0.10666542614577749</v>
      </c>
      <c r="K58" s="8">
        <f t="shared" si="42"/>
        <v>9.6652811554448367E-2</v>
      </c>
      <c r="L58" s="8">
        <f t="shared" si="42"/>
        <v>0.10256325657019646</v>
      </c>
      <c r="M58" s="8">
        <f t="shared" si="42"/>
        <v>0.18362041366766058</v>
      </c>
      <c r="N58" s="8">
        <f t="shared" si="42"/>
        <v>5.5835724415279418E-2</v>
      </c>
      <c r="O58" s="8">
        <f t="shared" si="42"/>
        <v>0.10855420061658598</v>
      </c>
      <c r="P58" s="8">
        <f t="shared" si="42"/>
        <v>0.16455093855127809</v>
      </c>
      <c r="Q58" s="8">
        <f t="shared" si="42"/>
        <v>0.11410234695509915</v>
      </c>
      <c r="R58" s="8">
        <f t="shared" si="42"/>
        <v>8.2745578928130628E-2</v>
      </c>
      <c r="S58" s="8">
        <f t="shared" si="42"/>
        <v>0.16832758137241735</v>
      </c>
      <c r="T58" s="8">
        <f t="shared" si="42"/>
        <v>0.10367116643337568</v>
      </c>
      <c r="U58" s="8">
        <f t="shared" si="42"/>
        <v>0.10475466796961637</v>
      </c>
      <c r="V58" s="8">
        <f t="shared" si="42"/>
        <v>0.1189567744556357</v>
      </c>
      <c r="W58" s="8">
        <f t="shared" si="42"/>
        <v>0.10482966630972308</v>
      </c>
      <c r="X58" s="8">
        <f t="shared" si="42"/>
        <v>0.10927219122627009</v>
      </c>
      <c r="Y58" s="8">
        <f t="shared" si="42"/>
        <v>0.20013244407981595</v>
      </c>
      <c r="Z58" s="8">
        <f t="shared" si="42"/>
        <v>0.14572105229729812</v>
      </c>
      <c r="AA58" s="8">
        <f t="shared" si="42"/>
        <v>0.15928477077927819</v>
      </c>
      <c r="AB58" s="8">
        <f t="shared" si="42"/>
        <v>0.15847716980103896</v>
      </c>
      <c r="AC58" s="8">
        <f t="shared" si="42"/>
        <v>0.13625963796837226</v>
      </c>
      <c r="AD58" s="8">
        <f t="shared" si="42"/>
        <v>0.13034495778528657</v>
      </c>
      <c r="AE58" s="8">
        <f t="shared" si="42"/>
        <v>6.9411287398490659E-2</v>
      </c>
      <c r="AF58" s="8">
        <f t="shared" si="42"/>
        <v>6.5977842543522791E-2</v>
      </c>
      <c r="AG58" s="8">
        <f t="shared" si="42"/>
        <v>0.11700819046182623</v>
      </c>
      <c r="AH58" s="8">
        <f t="shared" si="42"/>
        <v>0.1180897692509905</v>
      </c>
      <c r="AI58" s="8">
        <f t="shared" si="42"/>
        <v>0.10214600631103563</v>
      </c>
      <c r="AJ58" s="8">
        <f t="shared" si="42"/>
        <v>5.962116480494524E-2</v>
      </c>
      <c r="AK58" s="8">
        <f t="shared" si="42"/>
        <v>5.3885525174838501E-2</v>
      </c>
      <c r="AL58" s="8">
        <f t="shared" si="42"/>
        <v>8.9568193752109573E-2</v>
      </c>
      <c r="AM58" s="8">
        <f t="shared" si="42"/>
        <v>6.7711779231653599E-2</v>
      </c>
      <c r="AN58" s="8">
        <f t="shared" si="42"/>
        <v>8.0349444223578537E-2</v>
      </c>
      <c r="AO58" s="8">
        <f t="shared" si="42"/>
        <v>0.10789995713981665</v>
      </c>
      <c r="AP58" s="8">
        <f t="shared" si="42"/>
        <v>7.436017504017467E-2</v>
      </c>
      <c r="AQ58" s="8">
        <f t="shared" si="42"/>
        <v>8.9973700779373139E-2</v>
      </c>
      <c r="AR58" s="8">
        <f t="shared" si="42"/>
        <v>2.4580337277949307E-2</v>
      </c>
      <c r="AS58" s="8">
        <f t="shared" si="42"/>
        <v>5.9727910130851269E-2</v>
      </c>
      <c r="AT58" s="8">
        <f t="shared" si="42"/>
        <v>5.1403065932146455E-2</v>
      </c>
      <c r="AU58" s="8">
        <f t="shared" si="42"/>
        <v>5.6508463046105517E-2</v>
      </c>
      <c r="AV58" s="8">
        <f t="shared" si="42"/>
        <v>4.6706909685497504E-2</v>
      </c>
      <c r="AW58" s="8">
        <f t="shared" si="42"/>
        <v>2.2171172402825901E-2</v>
      </c>
      <c r="AX58" s="8">
        <f t="shared" si="42"/>
        <v>7.2737819384726843E-2</v>
      </c>
      <c r="AY58" s="8">
        <f t="shared" si="42"/>
        <v>0.14631264956873888</v>
      </c>
      <c r="AZ58" s="8">
        <f t="shared" si="42"/>
        <v>0.13688111994391916</v>
      </c>
      <c r="BA58" s="8">
        <f t="shared" si="42"/>
        <v>0.14377206853535426</v>
      </c>
      <c r="BB58" s="8">
        <f t="shared" si="42"/>
        <v>0.1718535687183555</v>
      </c>
      <c r="BC58" s="8">
        <f t="shared" si="42"/>
        <v>0.14261581749380353</v>
      </c>
      <c r="BD58" s="8">
        <f t="shared" si="42"/>
        <v>0.13730402141494386</v>
      </c>
      <c r="BE58" s="8">
        <f t="shared" si="42"/>
        <v>8.1805411716483881E-2</v>
      </c>
      <c r="BF58" s="8">
        <f t="shared" si="42"/>
        <v>8.0479884143076413E-2</v>
      </c>
      <c r="BG58" s="8">
        <f t="shared" si="42"/>
        <v>8.669103605505693E-2</v>
      </c>
      <c r="BH58" s="8">
        <f t="shared" si="42"/>
        <v>6.2720504387674209E-2</v>
      </c>
      <c r="BI58" s="8">
        <f t="shared" si="42"/>
        <v>0.10970437719865295</v>
      </c>
      <c r="BJ58" s="8">
        <f t="shared" si="42"/>
        <v>0.10805134819838952</v>
      </c>
      <c r="BK58" s="8">
        <f t="shared" si="42"/>
        <v>0.10173836449636252</v>
      </c>
      <c r="BL58" s="8">
        <f t="shared" si="42"/>
        <v>0.10834851190158805</v>
      </c>
      <c r="BM58" s="8">
        <f t="shared" si="42"/>
        <v>3.9062259826273482E-2</v>
      </c>
      <c r="BN58" s="8">
        <f t="shared" si="42"/>
        <v>7.9400561124678068E-2</v>
      </c>
      <c r="BO58" s="8">
        <f t="shared" ref="BO58:CS58" si="43">BO57/BO4</f>
        <v>7.3064325999086868E-2</v>
      </c>
      <c r="BP58" s="8">
        <f t="shared" si="43"/>
        <v>6.4508641525651306E-2</v>
      </c>
      <c r="BQ58" s="8">
        <f t="shared" si="43"/>
        <v>8.0415372217594774E-2</v>
      </c>
      <c r="BR58" s="8">
        <f t="shared" si="43"/>
        <v>7.5614631544002997E-2</v>
      </c>
      <c r="BS58" s="8">
        <f t="shared" si="43"/>
        <v>6.3241008858469616E-2</v>
      </c>
      <c r="BT58" s="8">
        <f t="shared" si="43"/>
        <v>5.1125073893374562E-2</v>
      </c>
      <c r="BU58" s="8">
        <f t="shared" si="43"/>
        <v>7.538867261507104E-2</v>
      </c>
      <c r="BV58" s="8">
        <f t="shared" si="43"/>
        <v>0.10602120191369051</v>
      </c>
      <c r="BW58" s="8">
        <f t="shared" si="43"/>
        <v>8.8429233226980195E-2</v>
      </c>
      <c r="BX58" s="8">
        <f t="shared" si="43"/>
        <v>7.7364043887167236E-2</v>
      </c>
      <c r="BY58" s="28">
        <f t="shared" si="43"/>
        <v>7.3196262494346201E-2</v>
      </c>
      <c r="BZ58" s="28">
        <f t="shared" ref="BZ58" si="44">BZ57/BZ4</f>
        <v>9.2798283258391637E-2</v>
      </c>
      <c r="CA58" s="8"/>
      <c r="CB58" s="8"/>
      <c r="CC58" s="8"/>
      <c r="CD58" s="8"/>
      <c r="CE58" s="8"/>
      <c r="CF58" s="8"/>
      <c r="CG58" s="8"/>
      <c r="CH58" s="8">
        <f t="shared" si="43"/>
        <v>0.11408413444504807</v>
      </c>
      <c r="CI58" s="8">
        <f t="shared" si="43"/>
        <v>0.11408413444504807</v>
      </c>
      <c r="CJ58" s="8">
        <f t="shared" si="43"/>
        <v>0.11408413444504807</v>
      </c>
      <c r="CK58" s="8">
        <f t="shared" si="43"/>
        <v>0.11408413444504807</v>
      </c>
      <c r="CL58" s="8">
        <f t="shared" si="43"/>
        <v>0.11408413444504807</v>
      </c>
      <c r="CM58" s="8">
        <f t="shared" si="43"/>
        <v>0.11408413444504807</v>
      </c>
      <c r="CN58" s="8">
        <f t="shared" si="43"/>
        <v>0.11408413444504807</v>
      </c>
      <c r="CO58" s="8">
        <f t="shared" si="43"/>
        <v>0.11408413444504807</v>
      </c>
      <c r="CP58" s="8">
        <f t="shared" si="43"/>
        <v>0.11408413444504807</v>
      </c>
      <c r="CQ58" s="8">
        <f t="shared" si="43"/>
        <v>0.11408413444504807</v>
      </c>
      <c r="CR58" s="8">
        <f t="shared" si="43"/>
        <v>0.11408413444504807</v>
      </c>
      <c r="CS58" s="8">
        <f t="shared" si="43"/>
        <v>0.11408413444504807</v>
      </c>
    </row>
    <row r="59" spans="1:97" x14ac:dyDescent="0.3">
      <c r="BY59" s="29"/>
      <c r="BZ59" s="29"/>
    </row>
    <row r="60" spans="1:97" x14ac:dyDescent="0.3">
      <c r="A60" s="6" t="s">
        <v>56</v>
      </c>
      <c r="B60" s="2">
        <f>B15+B53</f>
        <v>4308797.26</v>
      </c>
      <c r="C60" s="2">
        <f t="shared" ref="C60:BN60" si="45">C15+C53</f>
        <v>4285729.91</v>
      </c>
      <c r="D60" s="2">
        <f t="shared" si="45"/>
        <v>4634994.3100000005</v>
      </c>
      <c r="E60" s="2">
        <f t="shared" si="45"/>
        <v>4933977.84</v>
      </c>
      <c r="F60" s="2">
        <f t="shared" si="45"/>
        <v>5123758.2700000005</v>
      </c>
      <c r="G60" s="2">
        <f t="shared" si="45"/>
        <v>4909228.96</v>
      </c>
      <c r="H60" s="2">
        <f t="shared" si="45"/>
        <v>5170868.3599999994</v>
      </c>
      <c r="I60" s="2">
        <f t="shared" si="45"/>
        <v>5021699.3</v>
      </c>
      <c r="J60" s="2">
        <f t="shared" si="45"/>
        <v>5088049.6900000004</v>
      </c>
      <c r="K60" s="2">
        <f t="shared" si="45"/>
        <v>5102083.13</v>
      </c>
      <c r="L60" s="2">
        <f t="shared" si="45"/>
        <v>5146223.6000000006</v>
      </c>
      <c r="M60" s="2">
        <f t="shared" si="45"/>
        <v>4401593.49</v>
      </c>
      <c r="N60" s="2">
        <f t="shared" si="45"/>
        <v>4545451.8599999994</v>
      </c>
      <c r="O60" s="2">
        <f t="shared" si="45"/>
        <v>4667927.5500000007</v>
      </c>
      <c r="P60" s="2">
        <f t="shared" si="45"/>
        <v>5048172.29</v>
      </c>
      <c r="Q60" s="2">
        <f t="shared" si="45"/>
        <v>4832858.05</v>
      </c>
      <c r="R60" s="2">
        <f t="shared" si="45"/>
        <v>4667184.67</v>
      </c>
      <c r="S60" s="2">
        <f t="shared" si="45"/>
        <v>4684342.5599999996</v>
      </c>
      <c r="T60" s="2">
        <f t="shared" si="45"/>
        <v>4876066.2699999996</v>
      </c>
      <c r="U60" s="2">
        <f t="shared" si="45"/>
        <v>4861086.9000000004</v>
      </c>
      <c r="V60" s="2">
        <f t="shared" si="45"/>
        <v>4975458.8100000005</v>
      </c>
      <c r="W60" s="2">
        <f t="shared" si="45"/>
        <v>5157179.05</v>
      </c>
      <c r="X60" s="2">
        <f t="shared" si="45"/>
        <v>5511635.4199999999</v>
      </c>
      <c r="Y60" s="2">
        <f t="shared" si="45"/>
        <v>3617384.5</v>
      </c>
      <c r="Z60" s="2">
        <f t="shared" si="45"/>
        <v>5026136.25</v>
      </c>
      <c r="AA60" s="2">
        <f t="shared" si="45"/>
        <v>4712779.83</v>
      </c>
      <c r="AB60" s="2">
        <f t="shared" si="45"/>
        <v>4886510.62</v>
      </c>
      <c r="AC60" s="2">
        <f t="shared" si="45"/>
        <v>4787163</v>
      </c>
      <c r="AD60" s="2">
        <f t="shared" si="45"/>
        <v>4884062.4499999993</v>
      </c>
      <c r="AE60" s="2">
        <f t="shared" si="45"/>
        <v>5041486.4000000004</v>
      </c>
      <c r="AF60" s="2">
        <f t="shared" si="45"/>
        <v>4723103.9400000004</v>
      </c>
      <c r="AG60" s="2">
        <f t="shared" si="45"/>
        <v>4794522.1100000003</v>
      </c>
      <c r="AH60" s="2">
        <f t="shared" si="45"/>
        <v>4809385.22</v>
      </c>
      <c r="AI60" s="2">
        <f t="shared" si="45"/>
        <v>5031442.1500000004</v>
      </c>
      <c r="AJ60" s="2">
        <f t="shared" si="45"/>
        <v>4924562.2299999995</v>
      </c>
      <c r="AK60" s="2">
        <f t="shared" si="45"/>
        <v>4671644.07</v>
      </c>
      <c r="AL60" s="2">
        <f t="shared" si="45"/>
        <v>4932981.54</v>
      </c>
      <c r="AM60" s="2">
        <f t="shared" si="45"/>
        <v>4991796.2</v>
      </c>
      <c r="AN60" s="2">
        <f t="shared" si="45"/>
        <v>5316613.22</v>
      </c>
      <c r="AO60" s="2">
        <f t="shared" si="45"/>
        <v>5368984.1900000004</v>
      </c>
      <c r="AP60" s="2">
        <f t="shared" si="45"/>
        <v>5307926.5999999996</v>
      </c>
      <c r="AQ60" s="2">
        <f t="shared" si="45"/>
        <v>5305232.2200000007</v>
      </c>
      <c r="AR60" s="2">
        <f t="shared" si="45"/>
        <v>5222891.1500000004</v>
      </c>
      <c r="AS60" s="2">
        <f t="shared" si="45"/>
        <v>5262721.68</v>
      </c>
      <c r="AT60" s="2">
        <f t="shared" si="45"/>
        <v>5241353.3499999996</v>
      </c>
      <c r="AU60" s="2">
        <f t="shared" si="45"/>
        <v>5145049.37</v>
      </c>
      <c r="AV60" s="2">
        <f t="shared" si="45"/>
        <v>5229144.6999999993</v>
      </c>
      <c r="AW60" s="2">
        <f t="shared" si="45"/>
        <v>3820536.7699999996</v>
      </c>
      <c r="AX60" s="2">
        <f t="shared" si="45"/>
        <v>5008175.5600000005</v>
      </c>
      <c r="AY60" s="2">
        <f t="shared" si="45"/>
        <v>5005042.1400000006</v>
      </c>
      <c r="AZ60" s="2">
        <f t="shared" si="45"/>
        <v>5398752.3100000005</v>
      </c>
      <c r="BA60" s="2">
        <f t="shared" si="45"/>
        <v>5131871.9399999995</v>
      </c>
      <c r="BB60" s="2">
        <f t="shared" si="45"/>
        <v>5410348.5099999998</v>
      </c>
      <c r="BC60" s="2">
        <f t="shared" si="45"/>
        <v>5237863.63</v>
      </c>
      <c r="BD60" s="2">
        <f t="shared" si="45"/>
        <v>5667866.6399999997</v>
      </c>
      <c r="BE60" s="2">
        <f t="shared" si="45"/>
        <v>5417855.0099999998</v>
      </c>
      <c r="BF60" s="2">
        <f t="shared" si="45"/>
        <v>5225900.0199999996</v>
      </c>
      <c r="BG60" s="2">
        <f t="shared" si="45"/>
        <v>5311315.5600000005</v>
      </c>
      <c r="BH60" s="2">
        <f t="shared" si="45"/>
        <v>5240633.1500000004</v>
      </c>
      <c r="BI60" s="2">
        <f t="shared" si="45"/>
        <v>2814723.33</v>
      </c>
      <c r="BJ60" s="2">
        <f t="shared" si="45"/>
        <v>5241443.6199999992</v>
      </c>
      <c r="BK60" s="2">
        <f t="shared" si="45"/>
        <v>5103291.46</v>
      </c>
      <c r="BL60" s="2">
        <f t="shared" si="45"/>
        <v>5412530.5099999998</v>
      </c>
      <c r="BM60" s="2">
        <f t="shared" si="45"/>
        <v>5228673.88</v>
      </c>
      <c r="BN60" s="2">
        <f t="shared" si="45"/>
        <v>5319347.49</v>
      </c>
      <c r="BO60" s="2">
        <f t="shared" ref="BO60:BY60" si="46">BO15+BO53</f>
        <v>5551051.3900000006</v>
      </c>
      <c r="BP60" s="2">
        <f t="shared" si="46"/>
        <v>5609789.6699999999</v>
      </c>
      <c r="BQ60" s="2">
        <f t="shared" si="46"/>
        <v>5823091.2500000009</v>
      </c>
      <c r="BR60" s="2">
        <f t="shared" si="46"/>
        <v>5806962.9499999993</v>
      </c>
      <c r="BS60" s="2">
        <f t="shared" si="46"/>
        <v>5709242.3099999996</v>
      </c>
      <c r="BT60" s="2">
        <f t="shared" si="46"/>
        <v>5559325.0800000001</v>
      </c>
      <c r="BU60" s="2">
        <f t="shared" si="46"/>
        <v>4958603.6199999992</v>
      </c>
      <c r="BV60" s="2">
        <f t="shared" si="46"/>
        <v>5587136.96</v>
      </c>
      <c r="BW60" s="2">
        <f t="shared" si="46"/>
        <v>5291328.8900000006</v>
      </c>
      <c r="BX60" s="2">
        <f t="shared" si="46"/>
        <v>5936059.2799999993</v>
      </c>
      <c r="BY60" s="27">
        <f t="shared" si="46"/>
        <v>5729917.8900000006</v>
      </c>
      <c r="BZ60" s="27">
        <f t="shared" ref="BZ60" si="47">BZ15+BZ53</f>
        <v>5680508.5</v>
      </c>
      <c r="CA60" s="2"/>
      <c r="CB60" s="2"/>
      <c r="CC60" s="2"/>
      <c r="CD60" s="2"/>
      <c r="CE60" s="2"/>
      <c r="CF60" s="2"/>
      <c r="CG60" s="2"/>
      <c r="CH60" s="2">
        <f>CH15+CH53</f>
        <v>5919748</v>
      </c>
      <c r="CI60" s="2">
        <f t="shared" ref="CI60:CS60" si="48">CI15+CI53</f>
        <v>5919748</v>
      </c>
      <c r="CJ60" s="2">
        <f t="shared" si="48"/>
        <v>5919748</v>
      </c>
      <c r="CK60" s="2">
        <f t="shared" si="48"/>
        <v>5919748</v>
      </c>
      <c r="CL60" s="2">
        <f t="shared" si="48"/>
        <v>5919748</v>
      </c>
      <c r="CM60" s="2">
        <f t="shared" si="48"/>
        <v>5919748</v>
      </c>
      <c r="CN60" s="2">
        <f t="shared" si="48"/>
        <v>5919748</v>
      </c>
      <c r="CO60" s="2">
        <f t="shared" si="48"/>
        <v>5919748</v>
      </c>
      <c r="CP60" s="2">
        <f t="shared" si="48"/>
        <v>5919748</v>
      </c>
      <c r="CQ60" s="2">
        <f t="shared" si="48"/>
        <v>5919748</v>
      </c>
      <c r="CR60" s="2">
        <f t="shared" si="48"/>
        <v>5919748</v>
      </c>
      <c r="CS60" s="2">
        <f t="shared" si="48"/>
        <v>5919748</v>
      </c>
    </row>
    <row r="61" spans="1:97" x14ac:dyDescent="0.3">
      <c r="A61" s="6" t="s">
        <v>57</v>
      </c>
      <c r="B61" s="16">
        <f>B60/B8</f>
        <v>3.6546295368011963</v>
      </c>
      <c r="C61" s="16">
        <f t="shared" ref="C61:BN61" si="49">C60/C8</f>
        <v>4.0885318421876073</v>
      </c>
      <c r="D61" s="16">
        <f t="shared" si="49"/>
        <v>3.7151374281919565</v>
      </c>
      <c r="E61" s="16">
        <f t="shared" si="49"/>
        <v>3.6878800499293662</v>
      </c>
      <c r="F61" s="16">
        <f t="shared" si="49"/>
        <v>3.86746898292995</v>
      </c>
      <c r="G61" s="16">
        <f t="shared" si="49"/>
        <v>4.585193346222459</v>
      </c>
      <c r="H61" s="16">
        <f t="shared" si="49"/>
        <v>4.5881788255169926</v>
      </c>
      <c r="I61" s="16">
        <f t="shared" si="49"/>
        <v>5.0344313769523126</v>
      </c>
      <c r="J61" s="16">
        <f t="shared" si="49"/>
        <v>4.7678459254900165</v>
      </c>
      <c r="K61" s="16">
        <f t="shared" si="49"/>
        <v>4.4425276978642776</v>
      </c>
      <c r="L61" s="16">
        <f t="shared" si="49"/>
        <v>4.7566053030240019</v>
      </c>
      <c r="M61" s="16">
        <f t="shared" si="49"/>
        <v>4.5812137174331182</v>
      </c>
      <c r="N61" s="16">
        <f t="shared" si="49"/>
        <v>4.7228516122596984</v>
      </c>
      <c r="O61" s="16">
        <f t="shared" si="49"/>
        <v>4.0197611615119984</v>
      </c>
      <c r="P61" s="16">
        <f t="shared" si="49"/>
        <v>3.9981849509272811</v>
      </c>
      <c r="Q61" s="16">
        <f t="shared" si="49"/>
        <v>4.6997928160005751</v>
      </c>
      <c r="R61" s="16">
        <f t="shared" si="49"/>
        <v>5.3156879710980158</v>
      </c>
      <c r="S61" s="16">
        <f t="shared" si="49"/>
        <v>4.7138939612430324</v>
      </c>
      <c r="T61" s="16">
        <f t="shared" si="49"/>
        <v>5.1282208912213534</v>
      </c>
      <c r="U61" s="16">
        <f t="shared" si="49"/>
        <v>4.824809159926513</v>
      </c>
      <c r="V61" s="16">
        <f t="shared" si="49"/>
        <v>4.7333165359694132</v>
      </c>
      <c r="W61" s="16">
        <f t="shared" si="49"/>
        <v>4.5851658541919873</v>
      </c>
      <c r="X61" s="16">
        <f t="shared" si="49"/>
        <v>4.6840045959311389</v>
      </c>
      <c r="Y61" s="16">
        <f t="shared" si="49"/>
        <v>3.3494518020024202</v>
      </c>
      <c r="Z61" s="16">
        <f t="shared" si="49"/>
        <v>4.1986355639685637</v>
      </c>
      <c r="AA61" s="16">
        <f t="shared" si="49"/>
        <v>4.2849529842414018</v>
      </c>
      <c r="AB61" s="16">
        <f t="shared" si="49"/>
        <v>3.9929681911521606</v>
      </c>
      <c r="AC61" s="16">
        <f t="shared" si="49"/>
        <v>4.5535910982084937</v>
      </c>
      <c r="AD61" s="16">
        <f t="shared" si="49"/>
        <v>5.0620858864548435</v>
      </c>
      <c r="AE61" s="16">
        <f t="shared" si="49"/>
        <v>4.9011421932949979</v>
      </c>
      <c r="AF61" s="16">
        <f t="shared" si="49"/>
        <v>4.3774718918362829</v>
      </c>
      <c r="AG61" s="16">
        <f t="shared" si="49"/>
        <v>4.2245835440695743</v>
      </c>
      <c r="AH61" s="16">
        <f t="shared" si="49"/>
        <v>4.6400243318861554</v>
      </c>
      <c r="AI61" s="16">
        <f t="shared" si="49"/>
        <v>4.6621789300262044</v>
      </c>
      <c r="AJ61" s="16">
        <f t="shared" si="49"/>
        <v>4.8134815170314642</v>
      </c>
      <c r="AK61" s="16">
        <f t="shared" si="49"/>
        <v>4.6806871575884612</v>
      </c>
      <c r="AL61" s="16">
        <f t="shared" si="49"/>
        <v>5.4718601221997902</v>
      </c>
      <c r="AM61" s="16">
        <f t="shared" si="49"/>
        <v>5.8124623153423602</v>
      </c>
      <c r="AN61" s="16">
        <f t="shared" si="49"/>
        <v>5.513587404205281</v>
      </c>
      <c r="AO61" s="16">
        <f t="shared" si="49"/>
        <v>5.5124149532113904</v>
      </c>
      <c r="AP61" s="16">
        <f t="shared" si="49"/>
        <v>5.9222265698034064</v>
      </c>
      <c r="AQ61" s="16">
        <f t="shared" si="49"/>
        <v>5.9842446616918661</v>
      </c>
      <c r="AR61" s="16">
        <f t="shared" si="49"/>
        <v>6.4542607942550481</v>
      </c>
      <c r="AS61" s="16">
        <f t="shared" si="49"/>
        <v>5.9940112840438191</v>
      </c>
      <c r="AT61" s="16">
        <f t="shared" si="49"/>
        <v>6.2773931396737837</v>
      </c>
      <c r="AU61" s="16">
        <f t="shared" si="49"/>
        <v>6.0817937512117437</v>
      </c>
      <c r="AV61" s="16">
        <f t="shared" si="49"/>
        <v>5.8183807443072899</v>
      </c>
      <c r="AW61" s="16">
        <f t="shared" si="49"/>
        <v>6.2044971426874076</v>
      </c>
      <c r="AX61" s="16">
        <f t="shared" si="49"/>
        <v>5.1371050295285468</v>
      </c>
      <c r="AY61" s="16">
        <f t="shared" si="49"/>
        <v>5.1987512507279998</v>
      </c>
      <c r="AZ61" s="16">
        <f t="shared" si="49"/>
        <v>5.2288672496767568</v>
      </c>
      <c r="BA61" s="16">
        <f t="shared" si="49"/>
        <v>4.8230376015724952</v>
      </c>
      <c r="BB61" s="16">
        <f t="shared" si="49"/>
        <v>5.4494210222118902</v>
      </c>
      <c r="BC61" s="16">
        <f t="shared" si="49"/>
        <v>5.2877873755827132</v>
      </c>
      <c r="BD61" s="16">
        <f t="shared" si="49"/>
        <v>5.6111686981132918</v>
      </c>
      <c r="BE61" s="16">
        <f t="shared" si="49"/>
        <v>5.9766134417236332</v>
      </c>
      <c r="BF61" s="16">
        <f t="shared" si="49"/>
        <v>5.7483541941387442</v>
      </c>
      <c r="BG61" s="16">
        <f t="shared" si="49"/>
        <v>5.4082854694733991</v>
      </c>
      <c r="BH61" s="16">
        <f t="shared" si="49"/>
        <v>5.1927549626211871</v>
      </c>
      <c r="BI61" s="16">
        <f t="shared" si="49"/>
        <v>3.4932777579088872</v>
      </c>
      <c r="BJ61" s="16">
        <f t="shared" si="49"/>
        <v>4.5313377688675249</v>
      </c>
      <c r="BK61" s="16">
        <f t="shared" si="49"/>
        <v>4.7567935818813485</v>
      </c>
      <c r="BL61" s="16">
        <f t="shared" si="49"/>
        <v>4.6874336894253066</v>
      </c>
      <c r="BM61" s="16">
        <f t="shared" si="49"/>
        <v>5.9469101043053447</v>
      </c>
      <c r="BN61" s="16">
        <f t="shared" si="49"/>
        <v>4.5243150739488422</v>
      </c>
      <c r="BO61" s="16">
        <f t="shared" ref="BO61:CS61" si="50">BO60/BO8</f>
        <v>5.3196329408670131</v>
      </c>
      <c r="BP61" s="16">
        <f t="shared" si="50"/>
        <v>5.0237717223585969</v>
      </c>
      <c r="BQ61" s="16">
        <f t="shared" si="50"/>
        <v>5.319494007573824</v>
      </c>
      <c r="BR61" s="16">
        <f t="shared" si="50"/>
        <v>5.0713157121323258</v>
      </c>
      <c r="BS61" s="16">
        <f t="shared" si="50"/>
        <v>4.6808643662125302</v>
      </c>
      <c r="BT61" s="16">
        <f t="shared" si="50"/>
        <v>4.6921632070365913</v>
      </c>
      <c r="BU61" s="16">
        <f t="shared" si="50"/>
        <v>4.9875731907424488</v>
      </c>
      <c r="BV61" s="16">
        <f t="shared" si="50"/>
        <v>4.4758458093775912</v>
      </c>
      <c r="BW61" s="16">
        <f t="shared" si="50"/>
        <v>4.1438923825284641</v>
      </c>
      <c r="BX61" s="16">
        <f t="shared" si="50"/>
        <v>4.6892150142867948</v>
      </c>
      <c r="BY61" s="30">
        <f t="shared" si="50"/>
        <v>4.5255462215112443</v>
      </c>
      <c r="BZ61" s="30">
        <f t="shared" ref="BZ61" si="51">BZ60/BZ8</f>
        <v>4.4126919348191587</v>
      </c>
      <c r="CA61" s="16"/>
      <c r="CB61" s="16"/>
      <c r="CC61" s="16"/>
      <c r="CD61" s="16"/>
      <c r="CE61" s="16"/>
      <c r="CF61" s="16"/>
      <c r="CG61" s="16"/>
      <c r="CH61" s="16">
        <f t="shared" si="50"/>
        <v>4.0710399198961289</v>
      </c>
      <c r="CI61" s="16">
        <f t="shared" si="50"/>
        <v>4.0710399198961289</v>
      </c>
      <c r="CJ61" s="16">
        <f t="shared" si="50"/>
        <v>4.0710399198961289</v>
      </c>
      <c r="CK61" s="16">
        <f t="shared" si="50"/>
        <v>4.0710399198961289</v>
      </c>
      <c r="CL61" s="16">
        <f t="shared" si="50"/>
        <v>4.0710399198961289</v>
      </c>
      <c r="CM61" s="16">
        <f t="shared" si="50"/>
        <v>4.0710399198961289</v>
      </c>
      <c r="CN61" s="16">
        <f t="shared" si="50"/>
        <v>4.0710399198961289</v>
      </c>
      <c r="CO61" s="16">
        <f t="shared" si="50"/>
        <v>4.0710399198961289</v>
      </c>
      <c r="CP61" s="16">
        <f t="shared" si="50"/>
        <v>4.0710399198961289</v>
      </c>
      <c r="CQ61" s="16">
        <f t="shared" si="50"/>
        <v>4.0710399198961289</v>
      </c>
      <c r="CR61" s="16">
        <f t="shared" si="50"/>
        <v>4.0710399198961289</v>
      </c>
      <c r="CS61" s="16">
        <f t="shared" si="50"/>
        <v>4.0710399198961289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2025-04-29T06:23:24Z</dcterms:created>
  <dcterms:modified xsi:type="dcterms:W3CDTF">2025-11-24T11:44:58Z</dcterms:modified>
</cp:coreProperties>
</file>