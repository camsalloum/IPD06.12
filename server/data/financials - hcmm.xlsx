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PD26.10\server\data\"/>
    </mc:Choice>
  </mc:AlternateContent>
  <xr:revisionPtr revIDLastSave="0" documentId="13_ncr:1_{1ED10B2D-C897-499A-9CC8-1863295EA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CM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S57" i="7" l="1"/>
  <c r="CR57" i="7"/>
  <c r="CQ57" i="7"/>
  <c r="CP57" i="7"/>
  <c r="CO57" i="7"/>
  <c r="CN57" i="7"/>
  <c r="CM57" i="7"/>
  <c r="CL57" i="7"/>
  <c r="CK57" i="7"/>
  <c r="CJ57" i="7"/>
  <c r="CI57" i="7"/>
  <c r="CH57" i="7"/>
  <c r="CG57" i="7"/>
  <c r="CF57" i="7"/>
  <c r="CE57" i="7"/>
  <c r="CD57" i="7"/>
  <c r="CC57" i="7"/>
  <c r="CB57" i="7"/>
  <c r="CA57" i="7"/>
  <c r="BZ57" i="7"/>
  <c r="BY57" i="7"/>
  <c r="BX57" i="7"/>
  <c r="BW57" i="7"/>
  <c r="BV57" i="7"/>
  <c r="BU57" i="7"/>
  <c r="BT57" i="7"/>
  <c r="BS57" i="7"/>
  <c r="BR57" i="7"/>
  <c r="BQ57" i="7"/>
  <c r="BP57" i="7"/>
  <c r="BO57" i="7"/>
  <c r="BN57" i="7"/>
  <c r="BM57" i="7"/>
  <c r="BL57" i="7"/>
  <c r="BK57" i="7"/>
  <c r="BJ57" i="7"/>
  <c r="BI57" i="7"/>
  <c r="BH57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B60" i="7"/>
  <c r="B55" i="7"/>
  <c r="D53" i="7"/>
  <c r="G53" i="7"/>
  <c r="H53" i="7"/>
  <c r="P53" i="7"/>
  <c r="T53" i="7"/>
  <c r="V53" i="7"/>
  <c r="W53" i="7"/>
  <c r="X53" i="7"/>
  <c r="AE53" i="7"/>
  <c r="AF53" i="7"/>
  <c r="AJ53" i="7"/>
  <c r="AL53" i="7"/>
  <c r="AM53" i="7"/>
  <c r="AN53" i="7"/>
  <c r="AR53" i="7"/>
  <c r="AU53" i="7"/>
  <c r="AV53" i="7"/>
  <c r="BC53" i="7"/>
  <c r="BH53" i="7"/>
  <c r="BJ53" i="7"/>
  <c r="BK53" i="7"/>
  <c r="BL53" i="7"/>
  <c r="BT53" i="7"/>
  <c r="BX53" i="7"/>
  <c r="CA53" i="7"/>
  <c r="CB53" i="7"/>
  <c r="CF53" i="7"/>
  <c r="CJ53" i="7"/>
  <c r="CN53" i="7"/>
  <c r="CP53" i="7"/>
  <c r="CQ53" i="7"/>
  <c r="CR53" i="7"/>
  <c r="BZ7" i="7"/>
  <c r="BZ5" i="7"/>
  <c r="CD16" i="7"/>
  <c r="CL16" i="7"/>
  <c r="CM16" i="7"/>
  <c r="CA15" i="7"/>
  <c r="CA16" i="7" s="1"/>
  <c r="CB15" i="7"/>
  <c r="CB16" i="7" s="1"/>
  <c r="CC15" i="7"/>
  <c r="CC16" i="7" s="1"/>
  <c r="CD15" i="7"/>
  <c r="CE15" i="7"/>
  <c r="CE16" i="7" s="1"/>
  <c r="CF15" i="7"/>
  <c r="CF16" i="7" s="1"/>
  <c r="CG15" i="7"/>
  <c r="CG16" i="7" s="1"/>
  <c r="CH15" i="7"/>
  <c r="CH16" i="7" s="1"/>
  <c r="CI15" i="7"/>
  <c r="CI16" i="7" s="1"/>
  <c r="CJ15" i="7"/>
  <c r="CJ16" i="7" s="1"/>
  <c r="CK15" i="7"/>
  <c r="CK16" i="7" s="1"/>
  <c r="CL15" i="7"/>
  <c r="CM15" i="7"/>
  <c r="CN15" i="7"/>
  <c r="CN16" i="7" s="1"/>
  <c r="CO15" i="7"/>
  <c r="CO16" i="7" s="1"/>
  <c r="CP15" i="7"/>
  <c r="CP16" i="7" s="1"/>
  <c r="CQ15" i="7"/>
  <c r="CQ16" i="7" s="1"/>
  <c r="CR15" i="7"/>
  <c r="CR16" i="7" s="1"/>
  <c r="CS15" i="7"/>
  <c r="CS16" i="7" s="1"/>
  <c r="BZ15" i="7"/>
  <c r="BZ16" i="7" s="1"/>
  <c r="BZ19" i="7"/>
  <c r="CA19" i="7"/>
  <c r="CB19" i="7"/>
  <c r="CC19" i="7"/>
  <c r="CD19" i="7"/>
  <c r="CE19" i="7"/>
  <c r="CF19" i="7"/>
  <c r="CG19" i="7"/>
  <c r="BZ20" i="7"/>
  <c r="BZ21" i="7" s="1"/>
  <c r="CA20" i="7"/>
  <c r="CA21" i="7" s="1"/>
  <c r="CB20" i="7"/>
  <c r="CB21" i="7" s="1"/>
  <c r="CC20" i="7"/>
  <c r="CC21" i="7" s="1"/>
  <c r="CD20" i="7"/>
  <c r="CD21" i="7" s="1"/>
  <c r="CE20" i="7"/>
  <c r="CF20" i="7"/>
  <c r="CF21" i="7" s="1"/>
  <c r="CG20" i="7"/>
  <c r="CG21" i="7" s="1"/>
  <c r="CA22" i="7"/>
  <c r="CA23" i="7" s="1"/>
  <c r="CB22" i="7"/>
  <c r="CB23" i="7" s="1"/>
  <c r="CC22" i="7"/>
  <c r="CC23" i="7" s="1"/>
  <c r="BZ47" i="7"/>
  <c r="BZ53" i="7" s="1"/>
  <c r="CB47" i="7"/>
  <c r="CG47" i="7"/>
  <c r="CG53" i="7" s="1"/>
  <c r="C47" i="7"/>
  <c r="C53" i="7" s="1"/>
  <c r="F47" i="7"/>
  <c r="F53" i="7" s="1"/>
  <c r="G47" i="7"/>
  <c r="K47" i="7"/>
  <c r="K53" i="7" s="1"/>
  <c r="N47" i="7"/>
  <c r="N53" i="7" s="1"/>
  <c r="O47" i="7"/>
  <c r="O53" i="7" s="1"/>
  <c r="R47" i="7"/>
  <c r="R53" i="7" s="1"/>
  <c r="S47" i="7"/>
  <c r="S53" i="7" s="1"/>
  <c r="V47" i="7"/>
  <c r="W47" i="7"/>
  <c r="AA47" i="7"/>
  <c r="AA53" i="7" s="1"/>
  <c r="AD47" i="7"/>
  <c r="AD53" i="7" s="1"/>
  <c r="AH47" i="7"/>
  <c r="AH53" i="7" s="1"/>
  <c r="AI47" i="7"/>
  <c r="AI53" i="7" s="1"/>
  <c r="AL47" i="7"/>
  <c r="AM47" i="7"/>
  <c r="AQ47" i="7"/>
  <c r="AQ53" i="7" s="1"/>
  <c r="AT47" i="7"/>
  <c r="AT53" i="7" s="1"/>
  <c r="AU47" i="7"/>
  <c r="AX47" i="7"/>
  <c r="AX53" i="7" s="1"/>
  <c r="AY47" i="7"/>
  <c r="AY53" i="7" s="1"/>
  <c r="BB47" i="7"/>
  <c r="BB53" i="7" s="1"/>
  <c r="BC47" i="7"/>
  <c r="BG47" i="7"/>
  <c r="BG53" i="7" s="1"/>
  <c r="BJ47" i="7"/>
  <c r="BN47" i="7"/>
  <c r="BN53" i="7" s="1"/>
  <c r="BO47" i="7"/>
  <c r="BO53" i="7" s="1"/>
  <c r="BR47" i="7"/>
  <c r="BR53" i="7" s="1"/>
  <c r="BS47" i="7"/>
  <c r="BS53" i="7" s="1"/>
  <c r="BW47" i="7"/>
  <c r="BW53" i="7" s="1"/>
  <c r="CA47" i="7"/>
  <c r="CC47" i="7"/>
  <c r="CC53" i="7" s="1"/>
  <c r="CD47" i="7"/>
  <c r="CD53" i="7" s="1"/>
  <c r="CE47" i="7"/>
  <c r="CE53" i="7" s="1"/>
  <c r="CF47" i="7"/>
  <c r="CH47" i="7"/>
  <c r="CH53" i="7" s="1"/>
  <c r="CH60" i="7" s="1"/>
  <c r="CH61" i="7" s="1"/>
  <c r="CI47" i="7"/>
  <c r="CI53" i="7" s="1"/>
  <c r="CL47" i="7"/>
  <c r="CL53" i="7" s="1"/>
  <c r="CM47" i="7"/>
  <c r="CM53" i="7" s="1"/>
  <c r="CP47" i="7"/>
  <c r="CQ47" i="7"/>
  <c r="C5" i="7"/>
  <c r="C20" i="7" s="1"/>
  <c r="D5" i="7"/>
  <c r="D19" i="7" s="1"/>
  <c r="E5" i="7"/>
  <c r="F5" i="7"/>
  <c r="F20" i="7" s="1"/>
  <c r="G5" i="7"/>
  <c r="G20" i="7" s="1"/>
  <c r="H5" i="7"/>
  <c r="H19" i="7" s="1"/>
  <c r="I5" i="7"/>
  <c r="J5" i="7"/>
  <c r="J19" i="7" s="1"/>
  <c r="K5" i="7"/>
  <c r="K20" i="7" s="1"/>
  <c r="L5" i="7"/>
  <c r="L19" i="7" s="1"/>
  <c r="M5" i="7"/>
  <c r="M19" i="7" s="1"/>
  <c r="N5" i="7"/>
  <c r="O5" i="7"/>
  <c r="O19" i="7" s="1"/>
  <c r="P5" i="7"/>
  <c r="P19" i="7" s="1"/>
  <c r="Q5" i="7"/>
  <c r="R5" i="7"/>
  <c r="R19" i="7" s="1"/>
  <c r="S5" i="7"/>
  <c r="S20" i="7" s="1"/>
  <c r="T5" i="7"/>
  <c r="T19" i="7" s="1"/>
  <c r="U5" i="7"/>
  <c r="U20" i="7" s="1"/>
  <c r="V5" i="7"/>
  <c r="W5" i="7"/>
  <c r="W20" i="7" s="1"/>
  <c r="X5" i="7"/>
  <c r="X19" i="7" s="1"/>
  <c r="Y5" i="7"/>
  <c r="Z5" i="7"/>
  <c r="AA5" i="7"/>
  <c r="AA20" i="7" s="1"/>
  <c r="AB5" i="7"/>
  <c r="AB19" i="7" s="1"/>
  <c r="AC5" i="7"/>
  <c r="AC19" i="7" s="1"/>
  <c r="AD5" i="7"/>
  <c r="AE5" i="7"/>
  <c r="AE19" i="7" s="1"/>
  <c r="AF5" i="7"/>
  <c r="AF19" i="7" s="1"/>
  <c r="AG5" i="7"/>
  <c r="AH5" i="7"/>
  <c r="AH19" i="7" s="1"/>
  <c r="AI5" i="7"/>
  <c r="AI20" i="7" s="1"/>
  <c r="AJ5" i="7"/>
  <c r="AJ19" i="7" s="1"/>
  <c r="AK5" i="7"/>
  <c r="AK19" i="7" s="1"/>
  <c r="AL5" i="7"/>
  <c r="AL20" i="7" s="1"/>
  <c r="AL21" i="7" s="1"/>
  <c r="AM5" i="7"/>
  <c r="AM19" i="7" s="1"/>
  <c r="AN5" i="7"/>
  <c r="AN19" i="7" s="1"/>
  <c r="AO5" i="7"/>
  <c r="AP5" i="7"/>
  <c r="AP19" i="7" s="1"/>
  <c r="AQ5" i="7"/>
  <c r="AQ20" i="7" s="1"/>
  <c r="AR5" i="7"/>
  <c r="AR19" i="7" s="1"/>
  <c r="AS5" i="7"/>
  <c r="AS19" i="7" s="1"/>
  <c r="AT5" i="7"/>
  <c r="AT19" i="7" s="1"/>
  <c r="AU5" i="7"/>
  <c r="AU19" i="7" s="1"/>
  <c r="AV5" i="7"/>
  <c r="AV19" i="7" s="1"/>
  <c r="AW5" i="7"/>
  <c r="AX5" i="7"/>
  <c r="AX19" i="7" s="1"/>
  <c r="AY5" i="7"/>
  <c r="AY20" i="7" s="1"/>
  <c r="AZ5" i="7"/>
  <c r="AZ19" i="7" s="1"/>
  <c r="BA5" i="7"/>
  <c r="BA19" i="7" s="1"/>
  <c r="BB5" i="7"/>
  <c r="BC5" i="7"/>
  <c r="BC19" i="7" s="1"/>
  <c r="BD5" i="7"/>
  <c r="BD19" i="7" s="1"/>
  <c r="BE5" i="7"/>
  <c r="BF5" i="7"/>
  <c r="BF20" i="7" s="1"/>
  <c r="BG5" i="7"/>
  <c r="BG20" i="7" s="1"/>
  <c r="BH5" i="7"/>
  <c r="BH19" i="7" s="1"/>
  <c r="BI5" i="7"/>
  <c r="BI19" i="7" s="1"/>
  <c r="BJ5" i="7"/>
  <c r="BK5" i="7"/>
  <c r="BK20" i="7" s="1"/>
  <c r="BL5" i="7"/>
  <c r="BL19" i="7" s="1"/>
  <c r="BM5" i="7"/>
  <c r="BN5" i="7"/>
  <c r="BN19" i="7" s="1"/>
  <c r="BO5" i="7"/>
  <c r="BO20" i="7" s="1"/>
  <c r="BP5" i="7"/>
  <c r="BP19" i="7" s="1"/>
  <c r="BQ5" i="7"/>
  <c r="BQ20" i="7" s="1"/>
  <c r="BR5" i="7"/>
  <c r="BR20" i="7" s="1"/>
  <c r="BR21" i="7" s="1"/>
  <c r="BS5" i="7"/>
  <c r="BS19" i="7" s="1"/>
  <c r="BT5" i="7"/>
  <c r="BT19" i="7" s="1"/>
  <c r="BU5" i="7"/>
  <c r="BV5" i="7"/>
  <c r="BV19" i="7" s="1"/>
  <c r="BW5" i="7"/>
  <c r="BW20" i="7" s="1"/>
  <c r="BX5" i="7"/>
  <c r="BX19" i="7" s="1"/>
  <c r="BY5" i="7"/>
  <c r="BY19" i="7" s="1"/>
  <c r="CH5" i="7"/>
  <c r="CH19" i="7" s="1"/>
  <c r="CI5" i="7"/>
  <c r="CI20" i="7" s="1"/>
  <c r="CJ5" i="7"/>
  <c r="CJ19" i="7" s="1"/>
  <c r="CK5" i="7"/>
  <c r="CK19" i="7" s="1"/>
  <c r="CL5" i="7"/>
  <c r="CL19" i="7" s="1"/>
  <c r="CM5" i="7"/>
  <c r="CM19" i="7" s="1"/>
  <c r="CN5" i="7"/>
  <c r="CN20" i="7" s="1"/>
  <c r="CO5" i="7"/>
  <c r="CO19" i="7" s="1"/>
  <c r="CP5" i="7"/>
  <c r="CP20" i="7" s="1"/>
  <c r="CQ5" i="7"/>
  <c r="CQ20" i="7" s="1"/>
  <c r="CR5" i="7"/>
  <c r="CR19" i="7" s="1"/>
  <c r="CS5" i="7"/>
  <c r="CS19" i="7" s="1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CH7" i="7"/>
  <c r="CI7" i="7"/>
  <c r="CJ7" i="7"/>
  <c r="CK7" i="7"/>
  <c r="CL7" i="7"/>
  <c r="CM7" i="7"/>
  <c r="CN7" i="7"/>
  <c r="CO7" i="7"/>
  <c r="CP7" i="7"/>
  <c r="CQ7" i="7"/>
  <c r="CR7" i="7"/>
  <c r="CS7" i="7"/>
  <c r="C15" i="7"/>
  <c r="C16" i="7" s="1"/>
  <c r="D15" i="7"/>
  <c r="D16" i="7" s="1"/>
  <c r="E15" i="7"/>
  <c r="E16" i="7" s="1"/>
  <c r="F15" i="7"/>
  <c r="F16" i="7" s="1"/>
  <c r="G15" i="7"/>
  <c r="G16" i="7" s="1"/>
  <c r="H15" i="7"/>
  <c r="H16" i="7" s="1"/>
  <c r="I15" i="7"/>
  <c r="I16" i="7" s="1"/>
  <c r="J15" i="7"/>
  <c r="J16" i="7" s="1"/>
  <c r="K15" i="7"/>
  <c r="K16" i="7" s="1"/>
  <c r="L15" i="7"/>
  <c r="L16" i="7" s="1"/>
  <c r="M15" i="7"/>
  <c r="M16" i="7" s="1"/>
  <c r="N15" i="7"/>
  <c r="N16" i="7" s="1"/>
  <c r="O15" i="7"/>
  <c r="O16" i="7" s="1"/>
  <c r="P15" i="7"/>
  <c r="P16" i="7" s="1"/>
  <c r="Q15" i="7"/>
  <c r="Q16" i="7" s="1"/>
  <c r="R15" i="7"/>
  <c r="R16" i="7" s="1"/>
  <c r="S15" i="7"/>
  <c r="S16" i="7" s="1"/>
  <c r="T15" i="7"/>
  <c r="T16" i="7" s="1"/>
  <c r="U15" i="7"/>
  <c r="U16" i="7" s="1"/>
  <c r="V15" i="7"/>
  <c r="V16" i="7" s="1"/>
  <c r="W15" i="7"/>
  <c r="W16" i="7" s="1"/>
  <c r="X15" i="7"/>
  <c r="X16" i="7" s="1"/>
  <c r="Y15" i="7"/>
  <c r="Y16" i="7" s="1"/>
  <c r="Z15" i="7"/>
  <c r="Z16" i="7" s="1"/>
  <c r="AA15" i="7"/>
  <c r="AA16" i="7" s="1"/>
  <c r="AB15" i="7"/>
  <c r="AB16" i="7" s="1"/>
  <c r="AC15" i="7"/>
  <c r="AC16" i="7" s="1"/>
  <c r="AD15" i="7"/>
  <c r="AD16" i="7" s="1"/>
  <c r="AE15" i="7"/>
  <c r="AE16" i="7" s="1"/>
  <c r="AF15" i="7"/>
  <c r="AF16" i="7" s="1"/>
  <c r="AG15" i="7"/>
  <c r="AG16" i="7" s="1"/>
  <c r="AH15" i="7"/>
  <c r="AH16" i="7" s="1"/>
  <c r="AI15" i="7"/>
  <c r="AI16" i="7" s="1"/>
  <c r="AJ15" i="7"/>
  <c r="AJ16" i="7" s="1"/>
  <c r="AK15" i="7"/>
  <c r="AK16" i="7" s="1"/>
  <c r="AL15" i="7"/>
  <c r="AL16" i="7" s="1"/>
  <c r="AM15" i="7"/>
  <c r="AM16" i="7" s="1"/>
  <c r="AN15" i="7"/>
  <c r="AN16" i="7" s="1"/>
  <c r="AO15" i="7"/>
  <c r="AO16" i="7" s="1"/>
  <c r="AP15" i="7"/>
  <c r="AP16" i="7" s="1"/>
  <c r="AQ15" i="7"/>
  <c r="AQ16" i="7" s="1"/>
  <c r="AR15" i="7"/>
  <c r="AR16" i="7" s="1"/>
  <c r="AS15" i="7"/>
  <c r="AS16" i="7" s="1"/>
  <c r="AT15" i="7"/>
  <c r="AT16" i="7" s="1"/>
  <c r="AU15" i="7"/>
  <c r="AU16" i="7" s="1"/>
  <c r="AV15" i="7"/>
  <c r="AV16" i="7" s="1"/>
  <c r="AW15" i="7"/>
  <c r="AW16" i="7" s="1"/>
  <c r="AX15" i="7"/>
  <c r="AX16" i="7" s="1"/>
  <c r="AY15" i="7"/>
  <c r="AY16" i="7" s="1"/>
  <c r="AZ15" i="7"/>
  <c r="AZ16" i="7" s="1"/>
  <c r="BA15" i="7"/>
  <c r="BA16" i="7" s="1"/>
  <c r="BB15" i="7"/>
  <c r="BB16" i="7" s="1"/>
  <c r="BC15" i="7"/>
  <c r="BC16" i="7" s="1"/>
  <c r="BD15" i="7"/>
  <c r="BD16" i="7" s="1"/>
  <c r="BE15" i="7"/>
  <c r="BE16" i="7" s="1"/>
  <c r="BF15" i="7"/>
  <c r="BF16" i="7" s="1"/>
  <c r="BG15" i="7"/>
  <c r="BG16" i="7" s="1"/>
  <c r="BH15" i="7"/>
  <c r="BH16" i="7" s="1"/>
  <c r="BI15" i="7"/>
  <c r="BI16" i="7" s="1"/>
  <c r="BJ15" i="7"/>
  <c r="BJ16" i="7" s="1"/>
  <c r="BK15" i="7"/>
  <c r="BK16" i="7" s="1"/>
  <c r="BL15" i="7"/>
  <c r="BL16" i="7" s="1"/>
  <c r="BM15" i="7"/>
  <c r="BM16" i="7" s="1"/>
  <c r="BN15" i="7"/>
  <c r="BN16" i="7" s="1"/>
  <c r="BO15" i="7"/>
  <c r="BO16" i="7" s="1"/>
  <c r="BP15" i="7"/>
  <c r="BP16" i="7" s="1"/>
  <c r="BQ15" i="7"/>
  <c r="BQ16" i="7" s="1"/>
  <c r="BR15" i="7"/>
  <c r="BR16" i="7" s="1"/>
  <c r="BS15" i="7"/>
  <c r="BS16" i="7" s="1"/>
  <c r="BT15" i="7"/>
  <c r="BT16" i="7" s="1"/>
  <c r="BU15" i="7"/>
  <c r="BU16" i="7" s="1"/>
  <c r="BV15" i="7"/>
  <c r="BV16" i="7" s="1"/>
  <c r="BW15" i="7"/>
  <c r="BW16" i="7" s="1"/>
  <c r="BX15" i="7"/>
  <c r="BX16" i="7" s="1"/>
  <c r="BY15" i="7"/>
  <c r="BY16" i="7" s="1"/>
  <c r="E19" i="7"/>
  <c r="F19" i="7"/>
  <c r="G19" i="7"/>
  <c r="I19" i="7"/>
  <c r="Q19" i="7"/>
  <c r="Y19" i="7"/>
  <c r="Z19" i="7"/>
  <c r="AG19" i="7"/>
  <c r="AI19" i="7"/>
  <c r="AO19" i="7"/>
  <c r="AQ19" i="7"/>
  <c r="AW19" i="7"/>
  <c r="BE19" i="7"/>
  <c r="BF19" i="7"/>
  <c r="BG19" i="7"/>
  <c r="BK19" i="7"/>
  <c r="BM19" i="7"/>
  <c r="BU19" i="7"/>
  <c r="BW19" i="7"/>
  <c r="D20" i="7"/>
  <c r="E20" i="7"/>
  <c r="E21" i="7" s="1"/>
  <c r="I20" i="7"/>
  <c r="I22" i="7" s="1"/>
  <c r="I23" i="7" s="1"/>
  <c r="L20" i="7"/>
  <c r="Q20" i="7"/>
  <c r="T20" i="7"/>
  <c r="Y20" i="7"/>
  <c r="Y22" i="7" s="1"/>
  <c r="Y23" i="7" s="1"/>
  <c r="Z20" i="7"/>
  <c r="Z22" i="7" s="1"/>
  <c r="Z23" i="7" s="1"/>
  <c r="AB20" i="7"/>
  <c r="AF20" i="7"/>
  <c r="AG20" i="7"/>
  <c r="AJ20" i="7"/>
  <c r="AK20" i="7"/>
  <c r="AM20" i="7"/>
  <c r="AN20" i="7"/>
  <c r="AN22" i="7" s="1"/>
  <c r="AN23" i="7" s="1"/>
  <c r="AO20" i="7"/>
  <c r="AO22" i="7" s="1"/>
  <c r="AO23" i="7" s="1"/>
  <c r="AR20" i="7"/>
  <c r="AS20" i="7"/>
  <c r="AS22" i="7" s="1"/>
  <c r="AS23" i="7" s="1"/>
  <c r="AV20" i="7"/>
  <c r="AV22" i="7" s="1"/>
  <c r="AV23" i="7" s="1"/>
  <c r="AW20" i="7"/>
  <c r="AW22" i="7" s="1"/>
  <c r="AW23" i="7" s="1"/>
  <c r="AX20" i="7"/>
  <c r="AX21" i="7" s="1"/>
  <c r="AZ20" i="7"/>
  <c r="BE20" i="7"/>
  <c r="BE22" i="7" s="1"/>
  <c r="BE23" i="7" s="1"/>
  <c r="BH20" i="7"/>
  <c r="BI20" i="7"/>
  <c r="BI22" i="7" s="1"/>
  <c r="BI23" i="7" s="1"/>
  <c r="BM20" i="7"/>
  <c r="BM22" i="7" s="1"/>
  <c r="BM23" i="7" s="1"/>
  <c r="BN20" i="7"/>
  <c r="BU20" i="7"/>
  <c r="BU22" i="7" s="1"/>
  <c r="BU23" i="7" s="1"/>
  <c r="BX20" i="7"/>
  <c r="I21" i="7"/>
  <c r="AG21" i="7"/>
  <c r="BU21" i="7"/>
  <c r="AG22" i="7"/>
  <c r="AG23" i="7" s="1"/>
  <c r="AL22" i="7"/>
  <c r="AL23" i="7" s="1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D47" i="7"/>
  <c r="E47" i="7"/>
  <c r="E53" i="7" s="1"/>
  <c r="H47" i="7"/>
  <c r="I47" i="7"/>
  <c r="I53" i="7" s="1"/>
  <c r="J47" i="7"/>
  <c r="J53" i="7" s="1"/>
  <c r="L47" i="7"/>
  <c r="L53" i="7" s="1"/>
  <c r="M47" i="7"/>
  <c r="M53" i="7" s="1"/>
  <c r="P47" i="7"/>
  <c r="Q47" i="7"/>
  <c r="Q53" i="7" s="1"/>
  <c r="T47" i="7"/>
  <c r="U47" i="7"/>
  <c r="U53" i="7" s="1"/>
  <c r="X47" i="7"/>
  <c r="Y47" i="7"/>
  <c r="Y53" i="7" s="1"/>
  <c r="Z47" i="7"/>
  <c r="Z53" i="7" s="1"/>
  <c r="AB47" i="7"/>
  <c r="AB53" i="7" s="1"/>
  <c r="AC47" i="7"/>
  <c r="AC53" i="7" s="1"/>
  <c r="AE47" i="7"/>
  <c r="AF47" i="7"/>
  <c r="AG47" i="7"/>
  <c r="AG53" i="7" s="1"/>
  <c r="AJ47" i="7"/>
  <c r="AK47" i="7"/>
  <c r="AK53" i="7" s="1"/>
  <c r="AN47" i="7"/>
  <c r="AO47" i="7"/>
  <c r="AO53" i="7" s="1"/>
  <c r="AP47" i="7"/>
  <c r="AP53" i="7" s="1"/>
  <c r="AR47" i="7"/>
  <c r="AS47" i="7"/>
  <c r="AS53" i="7" s="1"/>
  <c r="AV47" i="7"/>
  <c r="AW47" i="7"/>
  <c r="AW53" i="7" s="1"/>
  <c r="AZ47" i="7"/>
  <c r="AZ53" i="7" s="1"/>
  <c r="BA47" i="7"/>
  <c r="BA53" i="7" s="1"/>
  <c r="BD47" i="7"/>
  <c r="BD53" i="7" s="1"/>
  <c r="BE47" i="7"/>
  <c r="BE53" i="7" s="1"/>
  <c r="BF47" i="7"/>
  <c r="BF53" i="7" s="1"/>
  <c r="BH47" i="7"/>
  <c r="BI47" i="7"/>
  <c r="BI53" i="7" s="1"/>
  <c r="BK47" i="7"/>
  <c r="BL47" i="7"/>
  <c r="BM47" i="7"/>
  <c r="BM53" i="7" s="1"/>
  <c r="BP47" i="7"/>
  <c r="BP53" i="7" s="1"/>
  <c r="BQ47" i="7"/>
  <c r="BQ53" i="7" s="1"/>
  <c r="BT47" i="7"/>
  <c r="BU47" i="7"/>
  <c r="BU53" i="7" s="1"/>
  <c r="BV47" i="7"/>
  <c r="BV53" i="7" s="1"/>
  <c r="BX47" i="7"/>
  <c r="BY47" i="7"/>
  <c r="BY53" i="7" s="1"/>
  <c r="CJ47" i="7"/>
  <c r="CK47" i="7"/>
  <c r="CK53" i="7" s="1"/>
  <c r="CN47" i="7"/>
  <c r="CO47" i="7"/>
  <c r="CO53" i="7" s="1"/>
  <c r="CR47" i="7"/>
  <c r="CS47" i="7"/>
  <c r="B5" i="7"/>
  <c r="B20" i="7" s="1"/>
  <c r="B22" i="7" s="1"/>
  <c r="E22" i="7" l="1"/>
  <c r="E23" i="7" s="1"/>
  <c r="AU20" i="7"/>
  <c r="W19" i="7"/>
  <c r="BY20" i="7"/>
  <c r="AT20" i="7"/>
  <c r="S19" i="7"/>
  <c r="C19" i="7"/>
  <c r="O20" i="7"/>
  <c r="O22" i="7" s="1"/>
  <c r="O23" i="7" s="1"/>
  <c r="BE21" i="7"/>
  <c r="BC20" i="7"/>
  <c r="AE20" i="7"/>
  <c r="BQ19" i="7"/>
  <c r="AY19" i="7"/>
  <c r="AW21" i="7"/>
  <c r="BS20" i="7"/>
  <c r="BS22" i="7" s="1"/>
  <c r="BS23" i="7" s="1"/>
  <c r="BO19" i="7"/>
  <c r="K19" i="7"/>
  <c r="Y21" i="7"/>
  <c r="BM21" i="7"/>
  <c r="BZ22" i="7"/>
  <c r="BZ23" i="7" s="1"/>
  <c r="AV21" i="7"/>
  <c r="AA19" i="7"/>
  <c r="BZ60" i="7"/>
  <c r="BZ61" i="7" s="1"/>
  <c r="CS53" i="7"/>
  <c r="CS60" i="7" s="1"/>
  <c r="CS61" i="7" s="1"/>
  <c r="CK60" i="7"/>
  <c r="CK61" i="7" s="1"/>
  <c r="Y55" i="7"/>
  <c r="CR60" i="7"/>
  <c r="CR61" i="7" s="1"/>
  <c r="CJ60" i="7"/>
  <c r="CJ61" i="7" s="1"/>
  <c r="CB60" i="7"/>
  <c r="CB61" i="7" s="1"/>
  <c r="BL60" i="7"/>
  <c r="BL61" i="7" s="1"/>
  <c r="AF60" i="7"/>
  <c r="AF61" i="7" s="1"/>
  <c r="P60" i="7"/>
  <c r="P61" i="7" s="1"/>
  <c r="H60" i="7"/>
  <c r="H61" i="7" s="1"/>
  <c r="CQ55" i="7"/>
  <c r="CI60" i="7"/>
  <c r="CI61" i="7" s="1"/>
  <c r="CA60" i="7"/>
  <c r="CA61" i="7" s="1"/>
  <c r="F21" i="7"/>
  <c r="F22" i="7"/>
  <c r="F23" i="7" s="1"/>
  <c r="AT22" i="7"/>
  <c r="AT23" i="7" s="1"/>
  <c r="AT21" i="7"/>
  <c r="BB19" i="7"/>
  <c r="BB20" i="7"/>
  <c r="V19" i="7"/>
  <c r="V20" i="7"/>
  <c r="N19" i="7"/>
  <c r="N20" i="7"/>
  <c r="AL19" i="7"/>
  <c r="BQ21" i="7"/>
  <c r="BQ22" i="7"/>
  <c r="BQ23" i="7" s="1"/>
  <c r="U21" i="7"/>
  <c r="U22" i="7"/>
  <c r="U23" i="7" s="1"/>
  <c r="AD19" i="7"/>
  <c r="AD20" i="7"/>
  <c r="BR19" i="7"/>
  <c r="CE22" i="7"/>
  <c r="CE23" i="7" s="1"/>
  <c r="CE21" i="7"/>
  <c r="CG60" i="7"/>
  <c r="CG61" i="7" s="1"/>
  <c r="Q21" i="7"/>
  <c r="Q22" i="7"/>
  <c r="Q23" i="7" s="1"/>
  <c r="BN21" i="7"/>
  <c r="BN22" i="7"/>
  <c r="BN23" i="7" s="1"/>
  <c r="CN60" i="7"/>
  <c r="CN61" i="7" s="1"/>
  <c r="BF22" i="7"/>
  <c r="BF23" i="7" s="1"/>
  <c r="BF21" i="7"/>
  <c r="CM60" i="7"/>
  <c r="CM61" i="7" s="1"/>
  <c r="BJ19" i="7"/>
  <c r="BJ20" i="7"/>
  <c r="AK21" i="7"/>
  <c r="AK22" i="7"/>
  <c r="AK23" i="7" s="1"/>
  <c r="BY22" i="7"/>
  <c r="BY23" i="7" s="1"/>
  <c r="BY21" i="7"/>
  <c r="CF55" i="7"/>
  <c r="BR22" i="7"/>
  <c r="BR23" i="7" s="1"/>
  <c r="AX22" i="7"/>
  <c r="AX23" i="7" s="1"/>
  <c r="BI21" i="7"/>
  <c r="BV20" i="7"/>
  <c r="BA20" i="7"/>
  <c r="AH20" i="7"/>
  <c r="CG22" i="7"/>
  <c r="CG23" i="7" s="1"/>
  <c r="AS21" i="7"/>
  <c r="AP20" i="7"/>
  <c r="M20" i="7"/>
  <c r="CF22" i="7"/>
  <c r="CF23" i="7" s="1"/>
  <c r="AO21" i="7"/>
  <c r="J20" i="7"/>
  <c r="U19" i="7"/>
  <c r="BB60" i="7"/>
  <c r="BB61" i="7" s="1"/>
  <c r="AL60" i="7"/>
  <c r="AL61" i="7" s="1"/>
  <c r="AD60" i="7"/>
  <c r="AD61" i="7" s="1"/>
  <c r="N60" i="7"/>
  <c r="N61" i="7" s="1"/>
  <c r="CD55" i="7"/>
  <c r="CD22" i="7"/>
  <c r="CD23" i="7" s="1"/>
  <c r="AJ60" i="7"/>
  <c r="AJ61" i="7" s="1"/>
  <c r="Z21" i="7"/>
  <c r="BP20" i="7"/>
  <c r="AC20" i="7"/>
  <c r="R20" i="7"/>
  <c r="CL60" i="7"/>
  <c r="CL61" i="7" s="1"/>
  <c r="BB55" i="7"/>
  <c r="AL55" i="7"/>
  <c r="AD55" i="7"/>
  <c r="BZ55" i="7"/>
  <c r="CS20" i="7"/>
  <c r="CS21" i="7" s="1"/>
  <c r="CR20" i="7"/>
  <c r="CM20" i="7"/>
  <c r="CM22" i="7" s="1"/>
  <c r="CM23" i="7" s="1"/>
  <c r="CL20" i="7"/>
  <c r="CL22" i="7" s="1"/>
  <c r="CL23" i="7" s="1"/>
  <c r="CK20" i="7"/>
  <c r="CK21" i="7" s="1"/>
  <c r="CJ20" i="7"/>
  <c r="CQ19" i="7"/>
  <c r="CI19" i="7"/>
  <c r="CQ21" i="7"/>
  <c r="CQ22" i="7"/>
  <c r="CQ23" i="7" s="1"/>
  <c r="CI21" i="7"/>
  <c r="CI22" i="7"/>
  <c r="CI23" i="7" s="1"/>
  <c r="CN21" i="7"/>
  <c r="CN22" i="7"/>
  <c r="CN23" i="7" s="1"/>
  <c r="CP21" i="7"/>
  <c r="CP22" i="7"/>
  <c r="CP23" i="7" s="1"/>
  <c r="CP19" i="7"/>
  <c r="CH20" i="7"/>
  <c r="CH21" i="7" s="1"/>
  <c r="CO20" i="7"/>
  <c r="CO55" i="7" s="1"/>
  <c r="CN19" i="7"/>
  <c r="CP55" i="7"/>
  <c r="CO60" i="7"/>
  <c r="CO61" i="7" s="1"/>
  <c r="CN55" i="7"/>
  <c r="CS55" i="7"/>
  <c r="CC55" i="7"/>
  <c r="CC60" i="7"/>
  <c r="CC61" i="7" s="1"/>
  <c r="X60" i="7"/>
  <c r="X61" i="7" s="1"/>
  <c r="CD60" i="7"/>
  <c r="CD61" i="7" s="1"/>
  <c r="CA55" i="7"/>
  <c r="CP60" i="7"/>
  <c r="CP61" i="7" s="1"/>
  <c r="CF60" i="7"/>
  <c r="CF61" i="7" s="1"/>
  <c r="W22" i="7"/>
  <c r="W23" i="7" s="1"/>
  <c r="W21" i="7"/>
  <c r="AF22" i="7"/>
  <c r="AF23" i="7" s="1"/>
  <c r="AF21" i="7"/>
  <c r="BH22" i="7"/>
  <c r="BH23" i="7" s="1"/>
  <c r="BH21" i="7"/>
  <c r="BP22" i="7"/>
  <c r="BP23" i="7" s="1"/>
  <c r="BP21" i="7"/>
  <c r="AE22" i="7"/>
  <c r="AE23" i="7" s="1"/>
  <c r="AE21" i="7"/>
  <c r="D22" i="7"/>
  <c r="D23" i="7" s="1"/>
  <c r="D21" i="7"/>
  <c r="BX22" i="7"/>
  <c r="BX23" i="7" s="1"/>
  <c r="BX21" i="7"/>
  <c r="AM22" i="7"/>
  <c r="AM23" i="7" s="1"/>
  <c r="AM21" i="7"/>
  <c r="L22" i="7"/>
  <c r="L23" i="7" s="1"/>
  <c r="L21" i="7"/>
  <c r="BD20" i="7"/>
  <c r="AU22" i="7"/>
  <c r="AU23" i="7" s="1"/>
  <c r="AU21" i="7"/>
  <c r="T22" i="7"/>
  <c r="T23" i="7" s="1"/>
  <c r="T21" i="7"/>
  <c r="BL20" i="7"/>
  <c r="BC22" i="7"/>
  <c r="BC23" i="7" s="1"/>
  <c r="BC21" i="7"/>
  <c r="AB22" i="7"/>
  <c r="AB23" i="7" s="1"/>
  <c r="AB21" i="7"/>
  <c r="BT20" i="7"/>
  <c r="BK22" i="7"/>
  <c r="BK23" i="7" s="1"/>
  <c r="BK21" i="7"/>
  <c r="AJ22" i="7"/>
  <c r="AJ23" i="7" s="1"/>
  <c r="AJ21" i="7"/>
  <c r="H20" i="7"/>
  <c r="AR22" i="7"/>
  <c r="AR23" i="7" s="1"/>
  <c r="AR21" i="7"/>
  <c r="P20" i="7"/>
  <c r="G22" i="7"/>
  <c r="G23" i="7" s="1"/>
  <c r="G21" i="7"/>
  <c r="AN21" i="7"/>
  <c r="AZ22" i="7"/>
  <c r="AZ23" i="7" s="1"/>
  <c r="AZ21" i="7"/>
  <c r="X20" i="7"/>
  <c r="BW22" i="7"/>
  <c r="BW23" i="7" s="1"/>
  <c r="BW21" i="7"/>
  <c r="BO22" i="7"/>
  <c r="BO23" i="7" s="1"/>
  <c r="BO21" i="7"/>
  <c r="BG22" i="7"/>
  <c r="BG23" i="7" s="1"/>
  <c r="BG21" i="7"/>
  <c r="AY22" i="7"/>
  <c r="AY23" i="7" s="1"/>
  <c r="AY21" i="7"/>
  <c r="AQ22" i="7"/>
  <c r="AQ23" i="7" s="1"/>
  <c r="AQ21" i="7"/>
  <c r="AI22" i="7"/>
  <c r="AI23" i="7" s="1"/>
  <c r="AI21" i="7"/>
  <c r="AA22" i="7"/>
  <c r="AA23" i="7" s="1"/>
  <c r="AA21" i="7"/>
  <c r="S22" i="7"/>
  <c r="S23" i="7" s="1"/>
  <c r="S21" i="7"/>
  <c r="K22" i="7"/>
  <c r="K23" i="7" s="1"/>
  <c r="K21" i="7"/>
  <c r="C22" i="7"/>
  <c r="C23" i="7" s="1"/>
  <c r="C21" i="7"/>
  <c r="O21" i="7" l="1"/>
  <c r="CK55" i="7"/>
  <c r="BS21" i="7"/>
  <c r="CS22" i="7"/>
  <c r="CS23" i="7" s="1"/>
  <c r="CR55" i="7"/>
  <c r="CR58" i="7" s="1"/>
  <c r="AL56" i="7"/>
  <c r="CM55" i="7"/>
  <c r="CI55" i="7"/>
  <c r="BB56" i="7"/>
  <c r="CQ60" i="7"/>
  <c r="CQ61" i="7" s="1"/>
  <c r="BL55" i="7"/>
  <c r="BL58" i="7" s="1"/>
  <c r="H55" i="7"/>
  <c r="H58" i="7" s="1"/>
  <c r="P55" i="7"/>
  <c r="P56" i="7" s="1"/>
  <c r="AF55" i="7"/>
  <c r="AF58" i="7" s="1"/>
  <c r="CB55" i="7"/>
  <c r="X55" i="7"/>
  <c r="X58" i="7" s="1"/>
  <c r="CD56" i="7"/>
  <c r="J22" i="7"/>
  <c r="J23" i="7" s="1"/>
  <c r="J21" i="7"/>
  <c r="BV22" i="7"/>
  <c r="BV23" i="7" s="1"/>
  <c r="BV21" i="7"/>
  <c r="BB21" i="7"/>
  <c r="BB22" i="7"/>
  <c r="BB23" i="7" s="1"/>
  <c r="R22" i="7"/>
  <c r="R23" i="7" s="1"/>
  <c r="R21" i="7"/>
  <c r="BA21" i="7"/>
  <c r="BA22" i="7"/>
  <c r="BA23" i="7" s="1"/>
  <c r="CO56" i="7"/>
  <c r="AC22" i="7"/>
  <c r="AC23" i="7" s="1"/>
  <c r="AC21" i="7"/>
  <c r="M22" i="7"/>
  <c r="M23" i="7" s="1"/>
  <c r="M21" i="7"/>
  <c r="AD22" i="7"/>
  <c r="AD23" i="7" s="1"/>
  <c r="AD21" i="7"/>
  <c r="AP22" i="7"/>
  <c r="AP23" i="7" s="1"/>
  <c r="AP21" i="7"/>
  <c r="AJ55" i="7"/>
  <c r="BJ22" i="7"/>
  <c r="BJ23" i="7" s="1"/>
  <c r="BJ21" i="7"/>
  <c r="V21" i="7"/>
  <c r="V22" i="7"/>
  <c r="V23" i="7" s="1"/>
  <c r="N22" i="7"/>
  <c r="N23" i="7" s="1"/>
  <c r="N21" i="7"/>
  <c r="N55" i="7"/>
  <c r="CQ58" i="7"/>
  <c r="AH22" i="7"/>
  <c r="AH23" i="7" s="1"/>
  <c r="AH21" i="7"/>
  <c r="BZ56" i="7"/>
  <c r="BB58" i="7"/>
  <c r="AD56" i="7"/>
  <c r="BZ58" i="7"/>
  <c r="CJ21" i="7"/>
  <c r="CJ22" i="7"/>
  <c r="CJ23" i="7" s="1"/>
  <c r="CK22" i="7"/>
  <c r="CK23" i="7" s="1"/>
  <c r="CL21" i="7"/>
  <c r="CR21" i="7"/>
  <c r="CR22" i="7"/>
  <c r="CR23" i="7" s="1"/>
  <c r="CQ56" i="7"/>
  <c r="CL55" i="7"/>
  <c r="CH55" i="7"/>
  <c r="CH58" i="7" s="1"/>
  <c r="CJ55" i="7"/>
  <c r="CM21" i="7"/>
  <c r="CO22" i="7"/>
  <c r="CO23" i="7" s="1"/>
  <c r="CO21" i="7"/>
  <c r="CP56" i="7"/>
  <c r="CH22" i="7"/>
  <c r="CH23" i="7" s="1"/>
  <c r="CC58" i="7"/>
  <c r="CK56" i="7"/>
  <c r="CD58" i="7"/>
  <c r="CN56" i="7"/>
  <c r="CC56" i="7"/>
  <c r="CP58" i="7"/>
  <c r="CA56" i="7"/>
  <c r="BF60" i="7"/>
  <c r="BF61" i="7" s="1"/>
  <c r="BF55" i="7"/>
  <c r="BT55" i="7"/>
  <c r="BT60" i="7"/>
  <c r="BT61" i="7" s="1"/>
  <c r="BO60" i="7"/>
  <c r="BO61" i="7" s="1"/>
  <c r="BO55" i="7"/>
  <c r="AW55" i="7"/>
  <c r="AW60" i="7"/>
  <c r="AW61" i="7" s="1"/>
  <c r="AG55" i="7"/>
  <c r="AG60" i="7"/>
  <c r="AG61" i="7" s="1"/>
  <c r="AS60" i="7"/>
  <c r="AS61" i="7" s="1"/>
  <c r="AS55" i="7"/>
  <c r="AO55" i="7"/>
  <c r="AO60" i="7"/>
  <c r="AO61" i="7" s="1"/>
  <c r="BK55" i="7"/>
  <c r="BK60" i="7"/>
  <c r="BK61" i="7" s="1"/>
  <c r="CS56" i="7"/>
  <c r="T60" i="7"/>
  <c r="T61" i="7" s="1"/>
  <c r="T55" i="7"/>
  <c r="AC60" i="7"/>
  <c r="AC61" i="7" s="1"/>
  <c r="AC55" i="7"/>
  <c r="BM55" i="7"/>
  <c r="BM60" i="7"/>
  <c r="BM61" i="7" s="1"/>
  <c r="W55" i="7"/>
  <c r="W60" i="7"/>
  <c r="W61" i="7" s="1"/>
  <c r="BJ55" i="7"/>
  <c r="BJ60" i="7"/>
  <c r="BJ61" i="7" s="1"/>
  <c r="AE55" i="7"/>
  <c r="AE60" i="7"/>
  <c r="AE61" i="7" s="1"/>
  <c r="V55" i="7"/>
  <c r="V60" i="7"/>
  <c r="V61" i="7" s="1"/>
  <c r="S60" i="7"/>
  <c r="S61" i="7" s="1"/>
  <c r="S55" i="7"/>
  <c r="BA60" i="7"/>
  <c r="BA61" i="7" s="1"/>
  <c r="BA55" i="7"/>
  <c r="AH60" i="7"/>
  <c r="AH61" i="7" s="1"/>
  <c r="AH55" i="7"/>
  <c r="BU55" i="7"/>
  <c r="BU60" i="7"/>
  <c r="BU61" i="7" s="1"/>
  <c r="AB60" i="7"/>
  <c r="AB61" i="7" s="1"/>
  <c r="AB55" i="7"/>
  <c r="AA60" i="7"/>
  <c r="AA61" i="7" s="1"/>
  <c r="AA55" i="7"/>
  <c r="BS55" i="7"/>
  <c r="BS60" i="7"/>
  <c r="BS61" i="7" s="1"/>
  <c r="AZ60" i="7"/>
  <c r="AZ61" i="7" s="1"/>
  <c r="AZ55" i="7"/>
  <c r="BR60" i="7"/>
  <c r="BR61" i="7" s="1"/>
  <c r="BR55" i="7"/>
  <c r="AK60" i="7"/>
  <c r="AK61" i="7" s="1"/>
  <c r="AK55" i="7"/>
  <c r="BI60" i="7"/>
  <c r="BI61" i="7" s="1"/>
  <c r="BI55" i="7"/>
  <c r="BQ60" i="7"/>
  <c r="BQ61" i="7" s="1"/>
  <c r="BQ55" i="7"/>
  <c r="BN60" i="7"/>
  <c r="BN61" i="7" s="1"/>
  <c r="BN55" i="7"/>
  <c r="Q55" i="7"/>
  <c r="Q60" i="7"/>
  <c r="Q61" i="7" s="1"/>
  <c r="AM55" i="7"/>
  <c r="AM60" i="7"/>
  <c r="AM61" i="7" s="1"/>
  <c r="AR60" i="7"/>
  <c r="AR61" i="7" s="1"/>
  <c r="AR55" i="7"/>
  <c r="AI60" i="7"/>
  <c r="AI61" i="7" s="1"/>
  <c r="AI55" i="7"/>
  <c r="BG60" i="7"/>
  <c r="BG61" i="7" s="1"/>
  <c r="BG55" i="7"/>
  <c r="R60" i="7"/>
  <c r="R61" i="7" s="1"/>
  <c r="R55" i="7"/>
  <c r="BY60" i="7"/>
  <c r="BY61" i="7" s="1"/>
  <c r="BY55" i="7"/>
  <c r="BV60" i="7"/>
  <c r="BV61" i="7" s="1"/>
  <c r="BV55" i="7"/>
  <c r="BE55" i="7"/>
  <c r="BE60" i="7"/>
  <c r="BE61" i="7" s="1"/>
  <c r="AU55" i="7"/>
  <c r="AU60" i="7"/>
  <c r="AU61" i="7" s="1"/>
  <c r="BH60" i="7"/>
  <c r="BH61" i="7" s="1"/>
  <c r="BH55" i="7"/>
  <c r="AY60" i="7"/>
  <c r="AY61" i="7" s="1"/>
  <c r="AY55" i="7"/>
  <c r="AN55" i="7"/>
  <c r="AN60" i="7"/>
  <c r="AN61" i="7" s="1"/>
  <c r="CG55" i="7"/>
  <c r="AV55" i="7"/>
  <c r="AV60" i="7"/>
  <c r="AV61" i="7" s="1"/>
  <c r="BC55" i="7"/>
  <c r="BC60" i="7"/>
  <c r="BC61" i="7" s="1"/>
  <c r="Z60" i="7"/>
  <c r="Z61" i="7" s="1"/>
  <c r="Z55" i="7"/>
  <c r="AP60" i="7"/>
  <c r="AP61" i="7" s="1"/>
  <c r="AP55" i="7"/>
  <c r="AT60" i="7"/>
  <c r="AT61" i="7" s="1"/>
  <c r="AT55" i="7"/>
  <c r="BP60" i="7"/>
  <c r="BP61" i="7" s="1"/>
  <c r="BP55" i="7"/>
  <c r="BW60" i="7"/>
  <c r="BW61" i="7" s="1"/>
  <c r="BW55" i="7"/>
  <c r="AX60" i="7"/>
  <c r="AX61" i="7" s="1"/>
  <c r="AX55" i="7"/>
  <c r="U60" i="7"/>
  <c r="U61" i="7" s="1"/>
  <c r="U55" i="7"/>
  <c r="BD55" i="7"/>
  <c r="BD60" i="7"/>
  <c r="BD61" i="7" s="1"/>
  <c r="Y60" i="7"/>
  <c r="Y61" i="7" s="1"/>
  <c r="AQ60" i="7"/>
  <c r="AQ61" i="7" s="1"/>
  <c r="AQ55" i="7"/>
  <c r="BX60" i="7"/>
  <c r="BX61" i="7" s="1"/>
  <c r="BX55" i="7"/>
  <c r="O55" i="7"/>
  <c r="O60" i="7"/>
  <c r="O61" i="7" s="1"/>
  <c r="CF56" i="7"/>
  <c r="K60" i="7"/>
  <c r="K61" i="7" s="1"/>
  <c r="K55" i="7"/>
  <c r="F55" i="7"/>
  <c r="F60" i="7"/>
  <c r="F61" i="7" s="1"/>
  <c r="C60" i="7"/>
  <c r="C61" i="7" s="1"/>
  <c r="C55" i="7"/>
  <c r="J55" i="7"/>
  <c r="J60" i="7"/>
  <c r="J61" i="7" s="1"/>
  <c r="D55" i="7"/>
  <c r="D60" i="7"/>
  <c r="D61" i="7" s="1"/>
  <c r="I55" i="7"/>
  <c r="I60" i="7"/>
  <c r="I61" i="7" s="1"/>
  <c r="L60" i="7"/>
  <c r="L61" i="7" s="1"/>
  <c r="L55" i="7"/>
  <c r="G60" i="7"/>
  <c r="G61" i="7" s="1"/>
  <c r="G55" i="7"/>
  <c r="E60" i="7"/>
  <c r="E61" i="7" s="1"/>
  <c r="E55" i="7"/>
  <c r="M55" i="7"/>
  <c r="M60" i="7"/>
  <c r="M61" i="7" s="1"/>
  <c r="CE60" i="7"/>
  <c r="CE61" i="7" s="1"/>
  <c r="CE55" i="7"/>
  <c r="CB56" i="7"/>
  <c r="X22" i="7"/>
  <c r="X23" i="7" s="1"/>
  <c r="X21" i="7"/>
  <c r="P22" i="7"/>
  <c r="P23" i="7" s="1"/>
  <c r="P21" i="7"/>
  <c r="BL22" i="7"/>
  <c r="BL23" i="7" s="1"/>
  <c r="BL21" i="7"/>
  <c r="BT22" i="7"/>
  <c r="BT23" i="7" s="1"/>
  <c r="BT21" i="7"/>
  <c r="BD22" i="7"/>
  <c r="BD23" i="7" s="1"/>
  <c r="BD21" i="7"/>
  <c r="H22" i="7"/>
  <c r="H23" i="7" s="1"/>
  <c r="H21" i="7"/>
  <c r="X56" i="7" l="1"/>
  <c r="CR56" i="7"/>
  <c r="CM56" i="7"/>
  <c r="P58" i="7"/>
  <c r="H56" i="7"/>
  <c r="CI56" i="7"/>
  <c r="BL56" i="7"/>
  <c r="AF56" i="7"/>
  <c r="AJ56" i="7"/>
  <c r="N58" i="7"/>
  <c r="N56" i="7"/>
  <c r="AL58" i="7"/>
  <c r="CH56" i="7"/>
  <c r="AD58" i="7"/>
  <c r="CL56" i="7"/>
  <c r="CL58" i="7"/>
  <c r="CJ56" i="7"/>
  <c r="CB58" i="7"/>
  <c r="CK58" i="7"/>
  <c r="CA58" i="7"/>
  <c r="CM58" i="7"/>
  <c r="CO58" i="7"/>
  <c r="CN58" i="7"/>
  <c r="CS58" i="7"/>
  <c r="CI58" i="7"/>
  <c r="CF58" i="7"/>
  <c r="AV56" i="7"/>
  <c r="R56" i="7"/>
  <c r="BI56" i="7"/>
  <c r="BU56" i="7"/>
  <c r="BU58" i="7"/>
  <c r="Y56" i="7"/>
  <c r="AU56" i="7"/>
  <c r="AH56" i="7"/>
  <c r="AC56" i="7"/>
  <c r="BK56" i="7"/>
  <c r="BW56" i="7"/>
  <c r="Z56" i="7"/>
  <c r="BG56" i="7"/>
  <c r="AK56" i="7"/>
  <c r="BS56" i="7"/>
  <c r="AE56" i="7"/>
  <c r="BO56" i="7"/>
  <c r="V56" i="7"/>
  <c r="AJ58" i="7"/>
  <c r="CG56" i="7"/>
  <c r="AM56" i="7"/>
  <c r="AW58" i="7"/>
  <c r="AW56" i="7"/>
  <c r="O56" i="7"/>
  <c r="BD56" i="7"/>
  <c r="AN56" i="7"/>
  <c r="BE56" i="7"/>
  <c r="Q56" i="7"/>
  <c r="AA56" i="7"/>
  <c r="BA56" i="7"/>
  <c r="AO56" i="7"/>
  <c r="AG56" i="7"/>
  <c r="AP56" i="7"/>
  <c r="BM56" i="7"/>
  <c r="BX56" i="7"/>
  <c r="U56" i="7"/>
  <c r="BP56" i="7"/>
  <c r="AY56" i="7"/>
  <c r="BV56" i="7"/>
  <c r="AI56" i="7"/>
  <c r="BN56" i="7"/>
  <c r="BR56" i="7"/>
  <c r="BJ56" i="7"/>
  <c r="AS56" i="7"/>
  <c r="AB56" i="7"/>
  <c r="S56" i="7"/>
  <c r="T56" i="7"/>
  <c r="BT56" i="7"/>
  <c r="AQ56" i="7"/>
  <c r="AX56" i="7"/>
  <c r="AT56" i="7"/>
  <c r="BC56" i="7"/>
  <c r="BH56" i="7"/>
  <c r="BY56" i="7"/>
  <c r="AR56" i="7"/>
  <c r="BQ56" i="7"/>
  <c r="AZ56" i="7"/>
  <c r="W56" i="7"/>
  <c r="BF56" i="7"/>
  <c r="G58" i="7"/>
  <c r="G56" i="7"/>
  <c r="J58" i="7"/>
  <c r="J56" i="7"/>
  <c r="C56" i="7"/>
  <c r="C58" i="7"/>
  <c r="E58" i="7"/>
  <c r="E56" i="7"/>
  <c r="L58" i="7"/>
  <c r="L56" i="7"/>
  <c r="I56" i="7"/>
  <c r="I58" i="7"/>
  <c r="F58" i="7"/>
  <c r="F56" i="7"/>
  <c r="K58" i="7"/>
  <c r="K56" i="7"/>
  <c r="D58" i="7"/>
  <c r="D56" i="7"/>
  <c r="M56" i="7"/>
  <c r="M58" i="7"/>
  <c r="CE56" i="7"/>
  <c r="BE58" i="7" l="1"/>
  <c r="BF58" i="7"/>
  <c r="BY58" i="7"/>
  <c r="BA58" i="7"/>
  <c r="AO58" i="7"/>
  <c r="W58" i="7"/>
  <c r="AX58" i="7"/>
  <c r="S58" i="7"/>
  <c r="BR58" i="7"/>
  <c r="AY58" i="7"/>
  <c r="BM58" i="7"/>
  <c r="AN58" i="7"/>
  <c r="AM58" i="7"/>
  <c r="Z58" i="7"/>
  <c r="AH58" i="7"/>
  <c r="BI58" i="7"/>
  <c r="AT58" i="7"/>
  <c r="BG58" i="7"/>
  <c r="AC58" i="7"/>
  <c r="AQ58" i="7"/>
  <c r="BN58" i="7"/>
  <c r="AP58" i="7"/>
  <c r="AA58" i="7"/>
  <c r="BD58" i="7"/>
  <c r="AE58" i="7"/>
  <c r="BV58" i="7"/>
  <c r="AR58" i="7"/>
  <c r="BJ58" i="7"/>
  <c r="BO58" i="7"/>
  <c r="BH58" i="7"/>
  <c r="AB58" i="7"/>
  <c r="BP58" i="7"/>
  <c r="AV58" i="7"/>
  <c r="T58" i="7"/>
  <c r="BT58" i="7"/>
  <c r="U58" i="7"/>
  <c r="AG58" i="7"/>
  <c r="Q58" i="7"/>
  <c r="BS58" i="7"/>
  <c r="BW58" i="7"/>
  <c r="AU58" i="7"/>
  <c r="R58" i="7"/>
  <c r="BK58" i="7"/>
  <c r="BX58" i="7"/>
  <c r="AZ58" i="7"/>
  <c r="BQ58" i="7"/>
  <c r="BC58" i="7"/>
  <c r="AS58" i="7"/>
  <c r="AI58" i="7"/>
  <c r="O58" i="7"/>
  <c r="V58" i="7"/>
  <c r="AK58" i="7"/>
  <c r="Y58" i="7"/>
  <c r="CJ58" i="7"/>
  <c r="CG58" i="7"/>
  <c r="CE58" i="7"/>
  <c r="B47" i="7" l="1"/>
  <c r="B53" i="7" s="1"/>
  <c r="B15" i="7"/>
  <c r="B16" i="7" s="1"/>
  <c r="B7" i="7"/>
  <c r="B61" i="7" l="1"/>
  <c r="B19" i="7"/>
  <c r="B23" i="7"/>
  <c r="B21" i="7"/>
  <c r="B56" i="7" l="1"/>
  <c r="B58" i="7" l="1"/>
</calcChain>
</file>

<file path=xl/sharedStrings.xml><?xml version="1.0" encoding="utf-8"?>
<sst xmlns="http://schemas.openxmlformats.org/spreadsheetml/2006/main" count="240" uniqueCount="62">
  <si>
    <t>Sales</t>
  </si>
  <si>
    <t>Cost of Sales</t>
  </si>
  <si>
    <t>Material</t>
  </si>
  <si>
    <t>Labour</t>
  </si>
  <si>
    <t>Depreciation</t>
  </si>
  <si>
    <t>Electricity</t>
  </si>
  <si>
    <t>Others Mfg. overheads</t>
  </si>
  <si>
    <t>Actual Direct Cost Spent</t>
  </si>
  <si>
    <t>Dir.Cost in Stock/Stock Adj.</t>
  </si>
  <si>
    <t>Direct cost as % of C.O.G.S</t>
  </si>
  <si>
    <t>Gross profit (after Depn.)</t>
  </si>
  <si>
    <t>Selling expenses</t>
  </si>
  <si>
    <t>Transportation</t>
  </si>
  <si>
    <t>Bank interest</t>
  </si>
  <si>
    <t>Bank charges</t>
  </si>
  <si>
    <t>R &amp; D, pre-production w/o</t>
  </si>
  <si>
    <t>Adj to Bad debts Prov.- Divn</t>
  </si>
  <si>
    <t>Other Income</t>
  </si>
  <si>
    <t>Net Profit</t>
  </si>
  <si>
    <t>Total Below GP Expenses</t>
  </si>
  <si>
    <t>Actual</t>
  </si>
  <si>
    <t>Budget</t>
  </si>
  <si>
    <t>Material cost as % of Sales</t>
  </si>
  <si>
    <t>Sales volume  (kg)</t>
  </si>
  <si>
    <t xml:space="preserve">Production volume (kg) </t>
  </si>
  <si>
    <t>Dir.Cost of  goods sold</t>
  </si>
  <si>
    <t>Dir.Cost of  goods sold  (SEWA disputed amt)</t>
  </si>
  <si>
    <t>Gross profit (after Depn.)  %</t>
  </si>
  <si>
    <t>Gross profit (before Depn.)</t>
  </si>
  <si>
    <t>Gross profit (before Depn.) %</t>
  </si>
  <si>
    <t>Sales ManpowerCost</t>
  </si>
  <si>
    <t>Sales Man Incentive</t>
  </si>
  <si>
    <t>Sales Office Rent</t>
  </si>
  <si>
    <t>Sales Travel and AirFare</t>
  </si>
  <si>
    <t>Advt / Exbn / Other Promotion</t>
  </si>
  <si>
    <t>Other Selling Expenses</t>
  </si>
  <si>
    <t>Administration Man Power Cost</t>
  </si>
  <si>
    <t>Telephone / Fax</t>
  </si>
  <si>
    <t>Other Administration Cost</t>
  </si>
  <si>
    <t xml:space="preserve">Administration </t>
  </si>
  <si>
    <t>Adj to Stock Prov.-Divn/Stock Valuation</t>
  </si>
  <si>
    <t>Net Profit 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</si>
  <si>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</si>
  <si>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</si>
  <si>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</si>
  <si>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</si>
  <si>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</si>
  <si>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</si>
  <si>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</si>
  <si>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</si>
  <si>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</si>
  <si>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</si>
  <si>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</si>
  <si>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</si>
  <si>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Ledgers</t>
  </si>
  <si>
    <t xml:space="preserve">EBITDA </t>
  </si>
  <si>
    <t>EBITDA  %</t>
  </si>
  <si>
    <t>Total Expenses</t>
  </si>
  <si>
    <t>Total Expenses /Kg</t>
  </si>
  <si>
    <t>Total FinanceCost &amp; Amortization</t>
  </si>
  <si>
    <t>Other Provision</t>
  </si>
  <si>
    <t>Administration &amp; Management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</si>
</sst>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0000"/>
    <numFmt numFmtId="166" formatCode="_(* #,##0_);_(* \(#,##0\);_(* &quot;-&quot;??_);_(@_)"/>
    <numFmt numFmtId="167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167" fontId="7" fillId="0" borderId="0" applyFont="0" applyFill="0" applyBorder="0" applyAlignment="0" applyProtection="0"/>
  </cellStyleXfs>
  <cellXfs count="29">
    <xf numFmtId="0" fontId="0" fillId="0" borderId="0" xfId="0"/>
    <xf numFmtId="164" fontId="1" fillId="0" borderId="1" xfId="1" applyNumberFormat="1" applyFont="1" applyBorder="1"/>
    <xf numFmtId="0" fontId="1" fillId="0" borderId="1" xfId="0" applyFont="1" applyBorder="1" applyAlignment="1">
      <alignment horizontal="center" vertical="center"/>
    </xf>
    <xf numFmtId="37" fontId="3" fillId="0" borderId="0" xfId="0" applyNumberFormat="1" applyFont="1"/>
    <xf numFmtId="37" fontId="3" fillId="0" borderId="0" xfId="0" applyNumberFormat="1" applyFont="1" applyAlignment="1">
      <alignment horizontal="left" vertical="center" wrapText="1"/>
    </xf>
    <xf numFmtId="37" fontId="4" fillId="0" borderId="0" xfId="0" applyNumberFormat="1" applyFont="1"/>
    <xf numFmtId="0" fontId="1" fillId="0" borderId="2" xfId="0" applyFont="1" applyBorder="1" applyAlignment="1">
      <alignment horizontal="center" vertical="center"/>
    </xf>
    <xf numFmtId="164" fontId="5" fillId="0" borderId="0" xfId="0" applyNumberFormat="1" applyFont="1"/>
    <xf numFmtId="164" fontId="6" fillId="0" borderId="1" xfId="1" applyNumberFormat="1" applyFont="1" applyBorder="1"/>
    <xf numFmtId="10" fontId="6" fillId="0" borderId="1" xfId="2" applyNumberFormat="1" applyFont="1" applyBorder="1"/>
    <xf numFmtId="164" fontId="2" fillId="0" borderId="1" xfId="1" applyNumberFormat="1" applyFont="1" applyBorder="1"/>
    <xf numFmtId="164" fontId="6" fillId="0" borderId="0" xfId="0" applyNumberFormat="1" applyFont="1"/>
    <xf numFmtId="164" fontId="5" fillId="0" borderId="1" xfId="1" applyNumberFormat="1" applyFont="1" applyBorder="1"/>
    <xf numFmtId="164" fontId="1" fillId="0" borderId="0" xfId="0" applyNumberFormat="1" applyFont="1"/>
    <xf numFmtId="0" fontId="1" fillId="0" borderId="0" xfId="0" applyFont="1"/>
    <xf numFmtId="166" fontId="3" fillId="0" borderId="0" xfId="5" applyNumberFormat="1" applyFont="1"/>
    <xf numFmtId="167" fontId="3" fillId="0" borderId="0" xfId="8" applyFont="1" applyFill="1"/>
    <xf numFmtId="166" fontId="3" fillId="0" borderId="0" xfId="8" applyNumberFormat="1" applyFont="1" applyFill="1"/>
    <xf numFmtId="166" fontId="3" fillId="0" borderId="0" xfId="8" applyNumberFormat="1" applyFont="1"/>
    <xf numFmtId="167" fontId="3" fillId="0" borderId="0" xfId="8" applyFont="1"/>
    <xf numFmtId="0" fontId="7" fillId="0" borderId="0" xfId="5"/>
    <xf numFmtId="164" fontId="0" fillId="0" borderId="1" xfId="1" applyNumberFormat="1" applyFont="1" applyBorder="1"/>
    <xf numFmtId="166" fontId="4" fillId="0" borderId="0" xfId="5" applyNumberFormat="1" applyFont="1"/>
    <xf numFmtId="164" fontId="4" fillId="0" borderId="0" xfId="7" applyNumberFormat="1" applyFont="1" applyBorder="1" applyAlignment="1"/>
    <xf numFmtId="166" fontId="4" fillId="0" borderId="0" xfId="6" applyNumberFormat="1" applyFont="1"/>
    <xf numFmtId="10" fontId="5" fillId="0" borderId="0" xfId="2" applyNumberFormat="1" applyFont="1" applyBorder="1"/>
    <xf numFmtId="166" fontId="3" fillId="0" borderId="0" xfId="6" applyNumberFormat="1" applyFont="1"/>
    <xf numFmtId="165" fontId="5" fillId="0" borderId="3" xfId="0" applyNumberFormat="1" applyFont="1" applyBorder="1"/>
    <xf numFmtId="37" fontId="4" fillId="0" borderId="3" xfId="0" applyNumberFormat="1" applyFont="1" applyBorder="1"/>
  </cellXfs>
  <cellStyles count="9">
    <cellStyle name="Comma" xfId="1" builtinId="3"/>
    <cellStyle name="Comma 10 2" xfId="8" xr:uid="{8383BD88-83CD-4335-8592-48DCA6F7A892}"/>
    <cellStyle name="Comma 10 7 9" xfId="7" xr:uid="{83EA9121-0176-4A11-A70D-D693F79E4B81}"/>
    <cellStyle name="Comma 2 3" xfId="3" xr:uid="{A47AAC9F-F18A-4B28-B60C-09F9B2084E49}"/>
    <cellStyle name="Normal" xfId="0" builtinId="0"/>
    <cellStyle name="Normal 15 3" xfId="6" xr:uid="{3A4514F7-8639-4552-9E03-8FA5FD579D9E}"/>
    <cellStyle name="Normal 3 2" xfId="5" xr:uid="{A8AD8F0F-9AC4-4E07-A41C-F55C27045C26}"/>
    <cellStyle name="Percent" xfId="2" builtinId="5"/>
    <cellStyle name="Percent 2" xfId="4" xr:uid="{94D57BB7-E1EE-44D7-8661-4609CAE71BD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6322-ABC6-4521-8775-D779831909D1}">
  <dimension ref="A1:CS75"/>
  <sheetViews>
    <sheetView tabSelected="1" zoomScale="80" zoomScaleNormal="80" workbookViewId="0">
      <pane xSplit="1" ySplit="2" topLeftCell="BM31" activePane="bottomRight" state="frozen"/>
      <selection pane="topRight" activeCell="B1" sqref="B1"/>
      <selection pane="bottomLeft" activeCell="A3" sqref="A3"/>
      <selection pane="bottomRight" activeCell="BY63" sqref="BY63"/>
    </sheetView>
  </sheetViews>
  <sheetFormatPr defaultRowHeight="14.4" x14ac:dyDescent="0.3"/>
  <cols>
    <col min="1" max="1" width="41" customWidth="1"/>
    <col min="2" max="12" width="12.109375" bestFit="1" customWidth="1"/>
    <col min="13" max="13" width="11.6640625" bestFit="1" customWidth="1"/>
    <col min="14" max="17" width="12.109375" bestFit="1" customWidth="1"/>
    <col min="18" max="18" width="11.6640625" bestFit="1" customWidth="1"/>
    <col min="19" max="24" width="12.109375" bestFit="1" customWidth="1"/>
    <col min="25" max="25" width="13.5546875" bestFit="1" customWidth="1"/>
    <col min="26" max="31" width="12.109375" bestFit="1" customWidth="1"/>
    <col min="32" max="35" width="13.5546875" bestFit="1" customWidth="1"/>
    <col min="36" max="48" width="12.109375" bestFit="1" customWidth="1"/>
    <col min="49" max="49" width="11.33203125" bestFit="1" customWidth="1"/>
    <col min="50" max="60" width="12.109375" bestFit="1" customWidth="1"/>
    <col min="61" max="61" width="11.6640625" bestFit="1" customWidth="1"/>
    <col min="62" max="64" width="12.109375" bestFit="1" customWidth="1"/>
    <col min="65" max="65" width="11.6640625" bestFit="1" customWidth="1"/>
    <col min="66" max="72" width="12.109375" bestFit="1" customWidth="1"/>
    <col min="73" max="73" width="11.88671875" bestFit="1" customWidth="1"/>
    <col min="74" max="74" width="12.109375" bestFit="1" customWidth="1"/>
    <col min="75" max="75" width="12.6640625" bestFit="1" customWidth="1"/>
    <col min="76" max="76" width="12.109375" bestFit="1" customWidth="1"/>
    <col min="77" max="78" width="10.5546875" customWidth="1"/>
    <col min="79" max="79" width="12.44140625" customWidth="1"/>
    <col min="80" max="85" width="10.5546875" customWidth="1"/>
    <col min="86" max="96" width="12.109375" bestFit="1" customWidth="1"/>
    <col min="97" max="97" width="12.88671875" customWidth="1"/>
  </cols>
  <sheetData>
    <row r="1" spans="1:97" x14ac:dyDescent="0.3">
      <c r="B1" s="2">
        <v>2019</v>
      </c>
      <c r="C1" s="2">
        <v>2019</v>
      </c>
      <c r="D1" s="2">
        <v>2019</v>
      </c>
      <c r="E1" s="2">
        <v>2019</v>
      </c>
      <c r="F1" s="2">
        <v>2019</v>
      </c>
      <c r="G1" s="2">
        <v>2019</v>
      </c>
      <c r="H1" s="2">
        <v>2019</v>
      </c>
      <c r="I1" s="2">
        <v>2019</v>
      </c>
      <c r="J1" s="2">
        <v>2019</v>
      </c>
      <c r="K1" s="2">
        <v>2019</v>
      </c>
      <c r="L1" s="2">
        <v>2019</v>
      </c>
      <c r="M1" s="2">
        <v>2019</v>
      </c>
      <c r="N1" s="2">
        <v>2020</v>
      </c>
      <c r="O1" s="2">
        <v>2020</v>
      </c>
      <c r="P1" s="2">
        <v>2020</v>
      </c>
      <c r="Q1" s="2">
        <v>2020</v>
      </c>
      <c r="R1" s="2">
        <v>2020</v>
      </c>
      <c r="S1" s="2">
        <v>2020</v>
      </c>
      <c r="T1" s="2">
        <v>2020</v>
      </c>
      <c r="U1" s="2">
        <v>2020</v>
      </c>
      <c r="V1" s="2">
        <v>2020</v>
      </c>
      <c r="W1" s="2">
        <v>2020</v>
      </c>
      <c r="X1" s="2">
        <v>2020</v>
      </c>
      <c r="Y1" s="2">
        <v>2020</v>
      </c>
      <c r="Z1" s="6">
        <v>2021</v>
      </c>
      <c r="AA1" s="6">
        <v>2021</v>
      </c>
      <c r="AB1" s="6">
        <v>2021</v>
      </c>
      <c r="AC1" s="6">
        <v>2021</v>
      </c>
      <c r="AD1" s="6">
        <v>2021</v>
      </c>
      <c r="AE1" s="6">
        <v>2021</v>
      </c>
      <c r="AF1" s="6">
        <v>2021</v>
      </c>
      <c r="AG1" s="6">
        <v>2021</v>
      </c>
      <c r="AH1" s="6">
        <v>2021</v>
      </c>
      <c r="AI1" s="6">
        <v>2021</v>
      </c>
      <c r="AJ1" s="6">
        <v>2021</v>
      </c>
      <c r="AK1" s="6">
        <v>2021</v>
      </c>
      <c r="AL1" s="6">
        <v>2022</v>
      </c>
      <c r="AM1" s="6">
        <v>2022</v>
      </c>
      <c r="AN1" s="6">
        <v>2022</v>
      </c>
      <c r="AO1" s="6">
        <v>2022</v>
      </c>
      <c r="AP1" s="6">
        <v>2022</v>
      </c>
      <c r="AQ1" s="6">
        <v>2022</v>
      </c>
      <c r="AR1" s="6">
        <v>2022</v>
      </c>
      <c r="AS1" s="6">
        <v>2022</v>
      </c>
      <c r="AT1" s="6">
        <v>2022</v>
      </c>
      <c r="AU1" s="6">
        <v>2022</v>
      </c>
      <c r="AV1" s="6">
        <v>2022</v>
      </c>
      <c r="AW1" s="6">
        <v>2022</v>
      </c>
      <c r="AX1" s="6">
        <v>2023</v>
      </c>
      <c r="AY1" s="6">
        <v>2023</v>
      </c>
      <c r="AZ1" s="6">
        <v>2023</v>
      </c>
      <c r="BA1" s="6">
        <v>2023</v>
      </c>
      <c r="BB1" s="6">
        <v>2023</v>
      </c>
      <c r="BC1" s="6">
        <v>2023</v>
      </c>
      <c r="BD1" s="6">
        <v>2023</v>
      </c>
      <c r="BE1" s="6">
        <v>2023</v>
      </c>
      <c r="BF1" s="6">
        <v>2023</v>
      </c>
      <c r="BG1" s="6">
        <v>2023</v>
      </c>
      <c r="BH1" s="6">
        <v>2023</v>
      </c>
      <c r="BI1" s="6">
        <v>2023</v>
      </c>
      <c r="BJ1" s="6">
        <v>2024</v>
      </c>
      <c r="BK1" s="6">
        <v>2024</v>
      </c>
      <c r="BL1" s="6">
        <v>2024</v>
      </c>
      <c r="BM1" s="6">
        <v>2024</v>
      </c>
      <c r="BN1" s="6">
        <v>2024</v>
      </c>
      <c r="BO1" s="6">
        <v>2024</v>
      </c>
      <c r="BP1" s="6">
        <v>2024</v>
      </c>
      <c r="BQ1" s="6">
        <v>2024</v>
      </c>
      <c r="BR1" s="6">
        <v>2024</v>
      </c>
      <c r="BS1" s="6">
        <v>2024</v>
      </c>
      <c r="BT1" s="6">
        <v>2024</v>
      </c>
      <c r="BU1" s="6">
        <v>2024</v>
      </c>
      <c r="BV1" s="6">
        <v>2025</v>
      </c>
      <c r="BW1" s="6">
        <v>2025</v>
      </c>
      <c r="BX1" s="6">
        <v>2025</v>
      </c>
      <c r="BY1" s="6">
        <v>2025</v>
      </c>
      <c r="BZ1" s="6">
        <v>2025</v>
      </c>
      <c r="CA1" s="6">
        <v>2025</v>
      </c>
      <c r="CB1" s="6">
        <v>2025</v>
      </c>
      <c r="CC1" s="6">
        <v>2025</v>
      </c>
      <c r="CD1" s="6">
        <v>2025</v>
      </c>
      <c r="CE1" s="6">
        <v>2025</v>
      </c>
      <c r="CF1" s="6">
        <v>2025</v>
      </c>
      <c r="CG1" s="6">
        <v>2025</v>
      </c>
      <c r="CH1" s="6">
        <v>2025</v>
      </c>
      <c r="CI1" s="6">
        <v>2025</v>
      </c>
      <c r="CJ1" s="6">
        <v>2025</v>
      </c>
      <c r="CK1" s="6">
        <v>2025</v>
      </c>
      <c r="CL1" s="6">
        <v>2025</v>
      </c>
      <c r="CM1" s="6">
        <v>2025</v>
      </c>
      <c r="CN1" s="6">
        <v>2025</v>
      </c>
      <c r="CO1" s="6">
        <v>2025</v>
      </c>
      <c r="CP1" s="6">
        <v>2025</v>
      </c>
      <c r="CQ1" s="6">
        <v>2025</v>
      </c>
      <c r="CR1" s="6">
        <v>2025</v>
      </c>
      <c r="CS1" s="6">
        <v>2025</v>
      </c>
    </row>
    <row r="2" spans="1:97" x14ac:dyDescent="0.3"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42</v>
      </c>
      <c r="AY2" s="2" t="s">
        <v>43</v>
      </c>
      <c r="AZ2" s="2" t="s">
        <v>44</v>
      </c>
      <c r="BA2" s="2" t="s">
        <v>45</v>
      </c>
      <c r="BB2" s="2" t="s">
        <v>46</v>
      </c>
      <c r="BC2" s="2" t="s">
        <v>47</v>
      </c>
      <c r="BD2" s="2" t="s">
        <v>48</v>
      </c>
      <c r="BE2" s="2" t="s">
        <v>49</v>
      </c>
      <c r="BF2" s="2" t="s">
        <v>50</v>
      </c>
      <c r="BG2" s="2" t="s">
        <v>51</v>
      </c>
      <c r="BH2" s="2" t="s">
        <v>52</v>
      </c>
      <c r="BI2" s="2" t="s">
        <v>53</v>
      </c>
      <c r="BJ2" s="2" t="s">
        <v>42</v>
      </c>
      <c r="BK2" s="2" t="s">
        <v>43</v>
      </c>
      <c r="BL2" s="2" t="s">
        <v>44</v>
      </c>
      <c r="BM2" s="2" t="s">
        <v>45</v>
      </c>
      <c r="BN2" s="2" t="s">
        <v>46</v>
      </c>
      <c r="BO2" s="2" t="s">
        <v>47</v>
      </c>
      <c r="BP2" s="2" t="s">
        <v>48</v>
      </c>
      <c r="BQ2" s="2" t="s">
        <v>49</v>
      </c>
      <c r="BR2" s="2" t="s">
        <v>50</v>
      </c>
      <c r="BS2" s="2" t="s">
        <v>51</v>
      </c>
      <c r="BT2" s="2" t="s">
        <v>52</v>
      </c>
      <c r="BU2" s="2" t="s">
        <v>53</v>
      </c>
      <c r="BV2" s="2" t="s">
        <v>42</v>
      </c>
      <c r="BW2" s="2" t="s">
        <v>43</v>
      </c>
      <c r="BX2" s="2" t="s">
        <v>44</v>
      </c>
      <c r="BY2" s="2" t="s">
        <v>45</v>
      </c>
      <c r="BZ2" s="2" t="s">
        <v>46</v>
      </c>
      <c r="CA2" s="2" t="s">
        <v>47</v>
      </c>
      <c r="CB2" s="2" t="s">
        <v>48</v>
      </c>
      <c r="CC2" s="2" t="s">
        <v>49</v>
      </c>
      <c r="CD2" s="2" t="s">
        <v>50</v>
      </c>
      <c r="CE2" s="2" t="s">
        <v>51</v>
      </c>
      <c r="CF2" s="2" t="s">
        <v>52</v>
      </c>
      <c r="CG2" s="2" t="s">
        <v>53</v>
      </c>
      <c r="CH2" s="2" t="s">
        <v>42</v>
      </c>
      <c r="CI2" s="2" t="s">
        <v>43</v>
      </c>
      <c r="CJ2" s="2" t="s">
        <v>44</v>
      </c>
      <c r="CK2" s="2" t="s">
        <v>45</v>
      </c>
      <c r="CL2" s="2" t="s">
        <v>46</v>
      </c>
      <c r="CM2" s="2" t="s">
        <v>47</v>
      </c>
      <c r="CN2" s="2" t="s">
        <v>48</v>
      </c>
      <c r="CO2" s="2" t="s">
        <v>49</v>
      </c>
      <c r="CP2" s="2" t="s">
        <v>50</v>
      </c>
      <c r="CQ2" s="2" t="s">
        <v>51</v>
      </c>
      <c r="CR2" s="2" t="s">
        <v>52</v>
      </c>
      <c r="CS2" s="2" t="s">
        <v>53</v>
      </c>
    </row>
    <row r="3" spans="1:97" x14ac:dyDescent="0.3">
      <c r="A3" s="14" t="s">
        <v>54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  <c r="K3" s="2" t="s">
        <v>20</v>
      </c>
      <c r="L3" s="2" t="s">
        <v>20</v>
      </c>
      <c r="M3" s="2" t="s">
        <v>20</v>
      </c>
      <c r="N3" s="2" t="s">
        <v>20</v>
      </c>
      <c r="O3" s="2" t="s">
        <v>20</v>
      </c>
      <c r="P3" s="2" t="s">
        <v>20</v>
      </c>
      <c r="Q3" s="2" t="s">
        <v>20</v>
      </c>
      <c r="R3" s="2" t="s">
        <v>20</v>
      </c>
      <c r="S3" s="2" t="s">
        <v>20</v>
      </c>
      <c r="T3" s="2" t="s">
        <v>20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20</v>
      </c>
      <c r="AJ3" s="2" t="s">
        <v>20</v>
      </c>
      <c r="AK3" s="2" t="s">
        <v>20</v>
      </c>
      <c r="AL3" s="2" t="s">
        <v>20</v>
      </c>
      <c r="AM3" s="2" t="s">
        <v>20</v>
      </c>
      <c r="AN3" s="2" t="s">
        <v>20</v>
      </c>
      <c r="AO3" s="2" t="s">
        <v>20</v>
      </c>
      <c r="AP3" s="2" t="s">
        <v>20</v>
      </c>
      <c r="AQ3" s="2" t="s">
        <v>20</v>
      </c>
      <c r="AR3" s="2" t="s">
        <v>20</v>
      </c>
      <c r="AS3" s="2" t="s">
        <v>20</v>
      </c>
      <c r="AT3" s="2" t="s">
        <v>20</v>
      </c>
      <c r="AU3" s="2" t="s">
        <v>20</v>
      </c>
      <c r="AV3" s="2" t="s">
        <v>20</v>
      </c>
      <c r="AW3" s="2" t="s">
        <v>20</v>
      </c>
      <c r="AX3" s="2" t="s">
        <v>20</v>
      </c>
      <c r="AY3" s="2" t="s">
        <v>20</v>
      </c>
      <c r="AZ3" s="2" t="s">
        <v>20</v>
      </c>
      <c r="BA3" s="2" t="s">
        <v>20</v>
      </c>
      <c r="BB3" s="2" t="s">
        <v>20</v>
      </c>
      <c r="BC3" s="2" t="s">
        <v>20</v>
      </c>
      <c r="BD3" s="2" t="s">
        <v>20</v>
      </c>
      <c r="BE3" s="2" t="s">
        <v>20</v>
      </c>
      <c r="BF3" s="2" t="s">
        <v>20</v>
      </c>
      <c r="BG3" s="2" t="s">
        <v>20</v>
      </c>
      <c r="BH3" s="2" t="s">
        <v>20</v>
      </c>
      <c r="BI3" s="2" t="s">
        <v>20</v>
      </c>
      <c r="BJ3" s="2" t="s">
        <v>20</v>
      </c>
      <c r="BK3" s="2" t="s">
        <v>20</v>
      </c>
      <c r="BL3" s="2" t="s">
        <v>20</v>
      </c>
      <c r="BM3" s="2" t="s">
        <v>20</v>
      </c>
      <c r="BN3" s="2" t="s">
        <v>20</v>
      </c>
      <c r="BO3" s="2" t="s">
        <v>20</v>
      </c>
      <c r="BP3" s="2" t="s">
        <v>20</v>
      </c>
      <c r="BQ3" s="2" t="s">
        <v>20</v>
      </c>
      <c r="BR3" s="2" t="s">
        <v>20</v>
      </c>
      <c r="BS3" s="2" t="s">
        <v>20</v>
      </c>
      <c r="BT3" s="2" t="s">
        <v>20</v>
      </c>
      <c r="BU3" s="2" t="s">
        <v>20</v>
      </c>
      <c r="BV3" s="2" t="s">
        <v>20</v>
      </c>
      <c r="BW3" s="2" t="s">
        <v>20</v>
      </c>
      <c r="BX3" s="2" t="s">
        <v>20</v>
      </c>
      <c r="BY3" s="2" t="s">
        <v>20</v>
      </c>
      <c r="BZ3" s="2" t="s">
        <v>20</v>
      </c>
      <c r="CA3" s="2" t="s">
        <v>20</v>
      </c>
      <c r="CB3" s="2" t="s">
        <v>20</v>
      </c>
      <c r="CC3" s="2" t="s">
        <v>20</v>
      </c>
      <c r="CD3" s="2" t="s">
        <v>20</v>
      </c>
      <c r="CE3" s="2" t="s">
        <v>20</v>
      </c>
      <c r="CF3" s="2" t="s">
        <v>20</v>
      </c>
      <c r="CG3" s="2" t="s">
        <v>20</v>
      </c>
      <c r="CH3" s="6" t="s">
        <v>21</v>
      </c>
      <c r="CI3" s="6" t="s">
        <v>21</v>
      </c>
      <c r="CJ3" s="6" t="s">
        <v>21</v>
      </c>
      <c r="CK3" s="6" t="s">
        <v>21</v>
      </c>
      <c r="CL3" s="6" t="s">
        <v>21</v>
      </c>
      <c r="CM3" s="6" t="s">
        <v>21</v>
      </c>
      <c r="CN3" s="6" t="s">
        <v>21</v>
      </c>
      <c r="CO3" s="6" t="s">
        <v>21</v>
      </c>
      <c r="CP3" s="6" t="s">
        <v>21</v>
      </c>
      <c r="CQ3" s="6" t="s">
        <v>21</v>
      </c>
      <c r="CR3" s="6" t="s">
        <v>21</v>
      </c>
      <c r="CS3" s="6" t="s">
        <v>21</v>
      </c>
    </row>
    <row r="4" spans="1:97" x14ac:dyDescent="0.3">
      <c r="A4" s="5" t="s">
        <v>0</v>
      </c>
      <c r="B4" s="22">
        <v>5488962.8200000003</v>
      </c>
      <c r="C4" s="22">
        <v>5909183.4500000002</v>
      </c>
      <c r="D4" s="22">
        <v>7081661.7800000003</v>
      </c>
      <c r="E4" s="22">
        <v>7018311.8400000008</v>
      </c>
      <c r="F4" s="22">
        <v>8275728.9399999985</v>
      </c>
      <c r="G4" s="22">
        <v>6926912.96</v>
      </c>
      <c r="H4" s="22">
        <v>7467195.3300000001</v>
      </c>
      <c r="I4" s="22">
        <v>6896252.4199999999</v>
      </c>
      <c r="J4" s="22">
        <v>7547762.1900000004</v>
      </c>
      <c r="K4" s="22">
        <v>5655142.1800000006</v>
      </c>
      <c r="L4" s="22">
        <v>6000207.4399999995</v>
      </c>
      <c r="M4" s="22">
        <v>4097574.28</v>
      </c>
      <c r="N4" s="22">
        <v>5560790.8100000005</v>
      </c>
      <c r="O4" s="22">
        <v>5368031.1300000008</v>
      </c>
      <c r="P4" s="22">
        <v>6504258.7700000005</v>
      </c>
      <c r="Q4" s="22">
        <v>5586540.5600000005</v>
      </c>
      <c r="R4" s="22">
        <v>4978469.3500000006</v>
      </c>
      <c r="S4" s="22">
        <v>4081536.9499999997</v>
      </c>
      <c r="T4" s="22">
        <v>3890336.5600000005</v>
      </c>
      <c r="U4" s="22">
        <v>4166893.71</v>
      </c>
      <c r="V4" s="22">
        <v>4132555.99</v>
      </c>
      <c r="W4" s="22">
        <v>3851699.53</v>
      </c>
      <c r="X4" s="22">
        <v>4541057.3899999997</v>
      </c>
      <c r="Y4" s="22">
        <v>3239675.09</v>
      </c>
      <c r="Z4" s="22">
        <v>4030313.4</v>
      </c>
      <c r="AA4" s="22">
        <v>5197953.63</v>
      </c>
      <c r="AB4" s="22">
        <v>6744727.79</v>
      </c>
      <c r="AC4" s="22">
        <v>6443772.6300000008</v>
      </c>
      <c r="AD4" s="22">
        <v>6208733.2600000007</v>
      </c>
      <c r="AE4" s="22">
        <v>6734071.0899999999</v>
      </c>
      <c r="AF4" s="22">
        <v>7156431.5200000005</v>
      </c>
      <c r="AG4" s="22">
        <v>7050791.9800000004</v>
      </c>
      <c r="AH4" s="22">
        <v>6604121.8200000003</v>
      </c>
      <c r="AI4" s="22">
        <v>6896168.4399999995</v>
      </c>
      <c r="AJ4" s="22">
        <v>5812303.0099999998</v>
      </c>
      <c r="AK4" s="22">
        <v>5581639.54</v>
      </c>
      <c r="AL4" s="22">
        <v>6539796.669999999</v>
      </c>
      <c r="AM4" s="22">
        <v>6991057.580000001</v>
      </c>
      <c r="AN4" s="22">
        <v>8409012.8200000003</v>
      </c>
      <c r="AO4" s="22">
        <v>7341532.2400000002</v>
      </c>
      <c r="AP4" s="22">
        <v>7330577.2200000007</v>
      </c>
      <c r="AQ4" s="22">
        <v>7868177.5399999991</v>
      </c>
      <c r="AR4" s="22">
        <v>8995464.25</v>
      </c>
      <c r="AS4" s="22">
        <v>8934701.9899999984</v>
      </c>
      <c r="AT4" s="22">
        <v>8040273.2799999993</v>
      </c>
      <c r="AU4" s="22">
        <v>8398945.3499999996</v>
      </c>
      <c r="AV4" s="22">
        <v>5628538.4699999997</v>
      </c>
      <c r="AW4" s="22">
        <v>4618227.6500000004</v>
      </c>
      <c r="AX4" s="22">
        <v>5839658.4999999991</v>
      </c>
      <c r="AY4" s="22">
        <v>6016052.9100000001</v>
      </c>
      <c r="AZ4" s="22">
        <v>6353345.5599999987</v>
      </c>
      <c r="BA4" s="22">
        <v>5847076.2600000007</v>
      </c>
      <c r="BB4" s="22">
        <v>6792850.6600000001</v>
      </c>
      <c r="BC4" s="22">
        <v>6157846.5499999998</v>
      </c>
      <c r="BD4" s="22">
        <v>7093721.8300000001</v>
      </c>
      <c r="BE4" s="22">
        <v>6414334.6599999992</v>
      </c>
      <c r="BF4" s="22">
        <v>5247167.7300000004</v>
      </c>
      <c r="BG4" s="22">
        <v>5699994.8100000005</v>
      </c>
      <c r="BH4" s="22">
        <v>5250175.41</v>
      </c>
      <c r="BI4" s="22">
        <v>3177371.63</v>
      </c>
      <c r="BJ4" s="22">
        <v>5506075.0800000001</v>
      </c>
      <c r="BK4" s="22">
        <v>6151948.2700000005</v>
      </c>
      <c r="BL4" s="22">
        <v>7026345.5999999996</v>
      </c>
      <c r="BM4" s="22">
        <v>5708839.0299999993</v>
      </c>
      <c r="BN4" s="22">
        <v>6508852.2999999998</v>
      </c>
      <c r="BO4" s="22">
        <v>5352760.2</v>
      </c>
      <c r="BP4" s="22">
        <v>7551864.2100000009</v>
      </c>
      <c r="BQ4" s="22">
        <v>6417288.3100000005</v>
      </c>
      <c r="BR4" s="22">
        <v>5363793.5199999996</v>
      </c>
      <c r="BS4" s="22">
        <v>6322100.6000000015</v>
      </c>
      <c r="BT4" s="22">
        <v>5981053.5199999996</v>
      </c>
      <c r="BU4" s="22">
        <v>4459077.26</v>
      </c>
      <c r="BV4" s="22">
        <v>4922599.3100000005</v>
      </c>
      <c r="BW4" s="22">
        <v>4926415.5200000005</v>
      </c>
      <c r="BX4" s="22">
        <v>5391964.3399999999</v>
      </c>
      <c r="BY4" s="22">
        <v>5547553.7200000007</v>
      </c>
      <c r="BZ4" s="22">
        <v>6053086.2000000002</v>
      </c>
      <c r="CA4" s="22"/>
      <c r="CB4" s="22"/>
      <c r="CC4" s="22"/>
      <c r="CD4" s="22"/>
      <c r="CE4" s="22"/>
      <c r="CF4" s="22"/>
      <c r="CG4" s="22"/>
      <c r="CH4" s="23">
        <v>5783488</v>
      </c>
      <c r="CI4" s="23">
        <v>6078440</v>
      </c>
      <c r="CJ4" s="23">
        <v>6934960</v>
      </c>
      <c r="CK4" s="23">
        <v>7469848</v>
      </c>
      <c r="CL4" s="23">
        <v>7737936</v>
      </c>
      <c r="CM4" s="23">
        <v>7737936</v>
      </c>
      <c r="CN4" s="23">
        <v>7775472</v>
      </c>
      <c r="CO4" s="23">
        <v>7695432</v>
      </c>
      <c r="CP4" s="23">
        <v>7207648</v>
      </c>
      <c r="CQ4" s="23">
        <v>6964400</v>
      </c>
      <c r="CR4" s="23">
        <v>6332360</v>
      </c>
      <c r="CS4" s="23">
        <v>6252320</v>
      </c>
    </row>
    <row r="5" spans="1:97" x14ac:dyDescent="0.3">
      <c r="A5" s="3" t="s">
        <v>1</v>
      </c>
      <c r="B5" s="7">
        <f>B6+B17</f>
        <v>5103868.66</v>
      </c>
      <c r="C5" s="7">
        <f t="shared" ref="C5:BN5" si="0">C6+C17</f>
        <v>5470514.7199999997</v>
      </c>
      <c r="D5" s="7">
        <f t="shared" si="0"/>
        <v>6176831.4800000004</v>
      </c>
      <c r="E5" s="7">
        <f t="shared" si="0"/>
        <v>6293085.1200000001</v>
      </c>
      <c r="F5" s="7">
        <f t="shared" si="0"/>
        <v>7327581.3600000003</v>
      </c>
      <c r="G5" s="7">
        <f t="shared" si="0"/>
        <v>6331750.8999999994</v>
      </c>
      <c r="H5" s="7">
        <f t="shared" si="0"/>
        <v>6728925.419999999</v>
      </c>
      <c r="I5" s="7">
        <f t="shared" si="0"/>
        <v>6239077.1399999987</v>
      </c>
      <c r="J5" s="7">
        <f t="shared" si="0"/>
        <v>6950376.2699999996</v>
      </c>
      <c r="K5" s="7">
        <f t="shared" si="0"/>
        <v>5264757.7000000011</v>
      </c>
      <c r="L5" s="7">
        <f t="shared" si="0"/>
        <v>5346807.2699999996</v>
      </c>
      <c r="M5" s="7">
        <f t="shared" si="0"/>
        <v>3622379.0899999994</v>
      </c>
      <c r="N5" s="7">
        <f t="shared" si="0"/>
        <v>5260470.8099999996</v>
      </c>
      <c r="O5" s="7">
        <f t="shared" si="0"/>
        <v>4800608.92</v>
      </c>
      <c r="P5" s="7">
        <f t="shared" si="0"/>
        <v>5305133.22</v>
      </c>
      <c r="Q5" s="7">
        <f t="shared" si="0"/>
        <v>4999645.84</v>
      </c>
      <c r="R5" s="7">
        <f t="shared" si="0"/>
        <v>4715200.24</v>
      </c>
      <c r="S5" s="7">
        <f t="shared" si="0"/>
        <v>3870104.98</v>
      </c>
      <c r="T5" s="7">
        <f t="shared" si="0"/>
        <v>3709031.5999999996</v>
      </c>
      <c r="U5" s="7">
        <f t="shared" si="0"/>
        <v>4036528.54</v>
      </c>
      <c r="V5" s="7">
        <f t="shared" si="0"/>
        <v>3910739.7300000004</v>
      </c>
      <c r="W5" s="7">
        <f t="shared" si="0"/>
        <v>3729666.0399999996</v>
      </c>
      <c r="X5" s="7">
        <f t="shared" si="0"/>
        <v>4142172.040000001</v>
      </c>
      <c r="Y5" s="7">
        <f t="shared" si="0"/>
        <v>3073882.8299999936</v>
      </c>
      <c r="Z5" s="7">
        <f t="shared" si="0"/>
        <v>3626210.4200000004</v>
      </c>
      <c r="AA5" s="7">
        <f t="shared" si="0"/>
        <v>4487156.8100000005</v>
      </c>
      <c r="AB5" s="7">
        <f t="shared" si="0"/>
        <v>5583467.129999999</v>
      </c>
      <c r="AC5" s="7">
        <f t="shared" si="0"/>
        <v>5689446.3900000015</v>
      </c>
      <c r="AD5" s="7">
        <f t="shared" si="0"/>
        <v>5753226.3699999992</v>
      </c>
      <c r="AE5" s="7">
        <f t="shared" si="0"/>
        <v>6278939.1600000011</v>
      </c>
      <c r="AF5" s="7">
        <f t="shared" si="0"/>
        <v>6871302.7400000002</v>
      </c>
      <c r="AG5" s="7">
        <f t="shared" si="0"/>
        <v>6771605.8499999996</v>
      </c>
      <c r="AH5" s="7">
        <f t="shared" si="0"/>
        <v>6382758.3999999985</v>
      </c>
      <c r="AI5" s="7">
        <f t="shared" si="0"/>
        <v>6357661.459999999</v>
      </c>
      <c r="AJ5" s="7">
        <f t="shared" si="0"/>
        <v>5408326.54</v>
      </c>
      <c r="AK5" s="7">
        <f t="shared" si="0"/>
        <v>5162068.05</v>
      </c>
      <c r="AL5" s="7">
        <f t="shared" si="0"/>
        <v>5680888.3599999994</v>
      </c>
      <c r="AM5" s="7">
        <f t="shared" si="0"/>
        <v>6111299.9200000009</v>
      </c>
      <c r="AN5" s="7">
        <f t="shared" si="0"/>
        <v>7328521.4300000016</v>
      </c>
      <c r="AO5" s="7">
        <f t="shared" si="0"/>
        <v>6345583.8999999985</v>
      </c>
      <c r="AP5" s="7">
        <f t="shared" si="0"/>
        <v>6647587.5</v>
      </c>
      <c r="AQ5" s="7">
        <f t="shared" si="0"/>
        <v>7048302.8499999996</v>
      </c>
      <c r="AR5" s="7">
        <f t="shared" si="0"/>
        <v>8359655.9700000016</v>
      </c>
      <c r="AS5" s="7">
        <f t="shared" si="0"/>
        <v>8132002.7300000004</v>
      </c>
      <c r="AT5" s="7">
        <f t="shared" si="0"/>
        <v>7513153.4900000002</v>
      </c>
      <c r="AU5" s="7">
        <f t="shared" si="0"/>
        <v>7696201.2199999997</v>
      </c>
      <c r="AV5" s="7">
        <f t="shared" si="0"/>
        <v>5454519.5499999989</v>
      </c>
      <c r="AW5" s="7">
        <f t="shared" si="0"/>
        <v>4564646.7699999996</v>
      </c>
      <c r="AX5" s="7">
        <f t="shared" si="0"/>
        <v>5179020.620000001</v>
      </c>
      <c r="AY5" s="7">
        <f t="shared" si="0"/>
        <v>5599926.629999999</v>
      </c>
      <c r="AZ5" s="7">
        <f t="shared" si="0"/>
        <v>5808101.9399999995</v>
      </c>
      <c r="BA5" s="7">
        <f t="shared" si="0"/>
        <v>5285303.2199999988</v>
      </c>
      <c r="BB5" s="7">
        <f t="shared" si="0"/>
        <v>6135335.8200000003</v>
      </c>
      <c r="BC5" s="7">
        <f t="shared" si="0"/>
        <v>5672465.4499999993</v>
      </c>
      <c r="BD5" s="7">
        <f t="shared" si="0"/>
        <v>6414875.7300000004</v>
      </c>
      <c r="BE5" s="7">
        <f t="shared" si="0"/>
        <v>5954410.0499999989</v>
      </c>
      <c r="BF5" s="7">
        <f t="shared" si="0"/>
        <v>5292609.2699999996</v>
      </c>
      <c r="BG5" s="7">
        <f t="shared" si="0"/>
        <v>5476277.2899999991</v>
      </c>
      <c r="BH5" s="7">
        <f t="shared" si="0"/>
        <v>5050802.3499999987</v>
      </c>
      <c r="BI5" s="7">
        <f t="shared" si="0"/>
        <v>3380342.67</v>
      </c>
      <c r="BJ5" s="7">
        <f t="shared" si="0"/>
        <v>5143409.6139724143</v>
      </c>
      <c r="BK5" s="7">
        <f t="shared" si="0"/>
        <v>5578568.9828485921</v>
      </c>
      <c r="BL5" s="7">
        <f t="shared" si="0"/>
        <v>6393267.7855744381</v>
      </c>
      <c r="BM5" s="7">
        <f t="shared" si="0"/>
        <v>5579145.3112956677</v>
      </c>
      <c r="BN5" s="7">
        <f t="shared" si="0"/>
        <v>6150822.8796283472</v>
      </c>
      <c r="BO5" s="7">
        <f t="shared" ref="BO5:CS5" si="1">BO6+BO17</f>
        <v>5508441.0736822523</v>
      </c>
      <c r="BP5" s="7">
        <f t="shared" si="1"/>
        <v>6962812.0675293896</v>
      </c>
      <c r="BQ5" s="7">
        <f t="shared" si="1"/>
        <v>6217039.9308911106</v>
      </c>
      <c r="BR5" s="7">
        <f t="shared" si="1"/>
        <v>5443102.1894525783</v>
      </c>
      <c r="BS5" s="7">
        <f t="shared" si="1"/>
        <v>6195205.5577852577</v>
      </c>
      <c r="BT5" s="7">
        <f t="shared" si="1"/>
        <v>5728676.4849572917</v>
      </c>
      <c r="BU5" s="7">
        <f t="shared" si="1"/>
        <v>4403057.2223826619</v>
      </c>
      <c r="BV5" s="7">
        <f>BV6+BV17</f>
        <v>4744961.2</v>
      </c>
      <c r="BW5" s="7">
        <f t="shared" si="1"/>
        <v>4731818.7</v>
      </c>
      <c r="BX5" s="7">
        <f t="shared" si="1"/>
        <v>5004370.6499999994</v>
      </c>
      <c r="BY5" s="7">
        <f t="shared" si="1"/>
        <v>5126399.0773137845</v>
      </c>
      <c r="BZ5" s="7">
        <f t="shared" si="1"/>
        <v>5607115.2678199569</v>
      </c>
      <c r="CA5" s="7"/>
      <c r="CB5" s="7"/>
      <c r="CC5" s="7"/>
      <c r="CD5" s="7"/>
      <c r="CE5" s="7"/>
      <c r="CF5" s="7"/>
      <c r="CG5" s="7"/>
      <c r="CH5" s="7">
        <f t="shared" si="1"/>
        <v>5516995.6060266569</v>
      </c>
      <c r="CI5" s="7">
        <f t="shared" si="1"/>
        <v>5761325.930423053</v>
      </c>
      <c r="CJ5" s="7">
        <f t="shared" si="1"/>
        <v>6419542.0124846501</v>
      </c>
      <c r="CK5" s="7">
        <f t="shared" si="1"/>
        <v>6819045.7421318553</v>
      </c>
      <c r="CL5" s="7">
        <f t="shared" si="1"/>
        <v>7005126.6344021186</v>
      </c>
      <c r="CM5" s="7">
        <f t="shared" si="1"/>
        <v>7005126.6344021186</v>
      </c>
      <c r="CN5" s="7">
        <f t="shared" si="1"/>
        <v>7034736.1908952268</v>
      </c>
      <c r="CO5" s="7">
        <f t="shared" si="1"/>
        <v>6949828.57252305</v>
      </c>
      <c r="CP5" s="7">
        <f t="shared" si="1"/>
        <v>6586520.3652975205</v>
      </c>
      <c r="CQ5" s="7">
        <f t="shared" si="1"/>
        <v>6371811.4841608647</v>
      </c>
      <c r="CR5" s="7">
        <f t="shared" si="1"/>
        <v>5925331.939712856</v>
      </c>
      <c r="CS5" s="7">
        <f t="shared" si="1"/>
        <v>5859913.0373558337</v>
      </c>
    </row>
    <row r="6" spans="1:97" x14ac:dyDescent="0.3">
      <c r="A6" s="3" t="s">
        <v>2</v>
      </c>
      <c r="B6" s="22">
        <v>4017696.5999999996</v>
      </c>
      <c r="C6" s="22">
        <v>4144629.8499999996</v>
      </c>
      <c r="D6" s="22">
        <v>4894190.3600000003</v>
      </c>
      <c r="E6" s="22">
        <v>4957723.8600000003</v>
      </c>
      <c r="F6" s="22">
        <v>5843932.7000000002</v>
      </c>
      <c r="G6" s="22">
        <v>4876093.8599999994</v>
      </c>
      <c r="H6" s="22">
        <v>5239299.1199999992</v>
      </c>
      <c r="I6" s="22">
        <v>4884098.6399999987</v>
      </c>
      <c r="J6" s="22">
        <v>5447704.5899999999</v>
      </c>
      <c r="K6" s="22">
        <v>3957598.7200000007</v>
      </c>
      <c r="L6" s="22">
        <v>3969497.52</v>
      </c>
      <c r="M6" s="22">
        <v>2165500.1499999994</v>
      </c>
      <c r="N6" s="22">
        <v>3874402.38</v>
      </c>
      <c r="O6" s="22">
        <v>3455259.6399999997</v>
      </c>
      <c r="P6" s="22">
        <v>3947056.07</v>
      </c>
      <c r="Q6" s="22">
        <v>3611857.81</v>
      </c>
      <c r="R6" s="22">
        <v>3253142.74</v>
      </c>
      <c r="S6" s="22">
        <v>2607496.52</v>
      </c>
      <c r="T6" s="22">
        <v>2506670.4599999995</v>
      </c>
      <c r="U6" s="22">
        <v>2729016.85</v>
      </c>
      <c r="V6" s="22">
        <v>2563225.41</v>
      </c>
      <c r="W6" s="22">
        <v>2420356.6399999997</v>
      </c>
      <c r="X6" s="22">
        <v>2883835.6400000006</v>
      </c>
      <c r="Y6" s="22">
        <v>1831330.8999999936</v>
      </c>
      <c r="Z6" s="22">
        <v>2469725.2100000004</v>
      </c>
      <c r="AA6" s="22">
        <v>3209068.2700000005</v>
      </c>
      <c r="AB6" s="22">
        <v>4245083.3499999987</v>
      </c>
      <c r="AC6" s="22">
        <v>4337781.3600000013</v>
      </c>
      <c r="AD6" s="22">
        <v>4381141.0099999988</v>
      </c>
      <c r="AE6" s="22">
        <v>4861177.2000000011</v>
      </c>
      <c r="AF6" s="22">
        <v>5420041.6400000006</v>
      </c>
      <c r="AG6" s="22">
        <v>5259076.41</v>
      </c>
      <c r="AH6" s="22">
        <v>4886308.5999999987</v>
      </c>
      <c r="AI6" s="22">
        <v>4798232.5599999996</v>
      </c>
      <c r="AJ6" s="22">
        <v>3934806.99</v>
      </c>
      <c r="AK6" s="22">
        <v>3776008.51</v>
      </c>
      <c r="AL6" s="22">
        <v>4317431.3499999996</v>
      </c>
      <c r="AM6" s="22">
        <v>4789723.620000001</v>
      </c>
      <c r="AN6" s="22">
        <v>5856689.8400000017</v>
      </c>
      <c r="AO6" s="22">
        <v>4898833.0099999988</v>
      </c>
      <c r="AP6" s="22">
        <v>5175265.32</v>
      </c>
      <c r="AQ6" s="22">
        <v>5500599.2399999993</v>
      </c>
      <c r="AR6" s="22">
        <v>6754738.6900000013</v>
      </c>
      <c r="AS6" s="22">
        <v>6496798.4000000004</v>
      </c>
      <c r="AT6" s="22">
        <v>5922335.5</v>
      </c>
      <c r="AU6" s="22">
        <v>6235064.5</v>
      </c>
      <c r="AV6" s="22">
        <v>4125787.0899999994</v>
      </c>
      <c r="AW6" s="22">
        <v>3280316.64</v>
      </c>
      <c r="AX6" s="22">
        <v>3900695.6100000008</v>
      </c>
      <c r="AY6" s="22">
        <v>4131385.9799999995</v>
      </c>
      <c r="AZ6" s="22">
        <v>4274012.22</v>
      </c>
      <c r="BA6" s="22">
        <v>3833063.3799999994</v>
      </c>
      <c r="BB6" s="22">
        <v>4632622.92</v>
      </c>
      <c r="BC6" s="22">
        <v>4203637.2799999993</v>
      </c>
      <c r="BD6" s="22">
        <v>4876189.8100000005</v>
      </c>
      <c r="BE6" s="22">
        <v>4557642.5999999996</v>
      </c>
      <c r="BF6" s="22">
        <v>3813475.1499999994</v>
      </c>
      <c r="BG6" s="22">
        <v>3941732.8599999994</v>
      </c>
      <c r="BH6" s="22">
        <v>3561803.8499999992</v>
      </c>
      <c r="BI6" s="22">
        <v>2046140.2599999998</v>
      </c>
      <c r="BJ6" s="22">
        <v>3801169.1700000009</v>
      </c>
      <c r="BK6" s="22">
        <v>4109677.3599999994</v>
      </c>
      <c r="BL6" s="22">
        <v>4864183.669999999</v>
      </c>
      <c r="BM6" s="22">
        <v>4142564.4700000011</v>
      </c>
      <c r="BN6" s="22">
        <v>4585392.3200000012</v>
      </c>
      <c r="BO6" s="22">
        <v>3953909.23</v>
      </c>
      <c r="BP6" s="22">
        <v>5377451.9900000012</v>
      </c>
      <c r="BQ6" s="22">
        <v>4659327.84</v>
      </c>
      <c r="BR6" s="22">
        <v>3972001.7199999997</v>
      </c>
      <c r="BS6" s="22">
        <v>4678279.669999999</v>
      </c>
      <c r="BT6" s="22">
        <v>4222430.26</v>
      </c>
      <c r="BU6" s="22">
        <v>3033271.0599999982</v>
      </c>
      <c r="BV6" s="22">
        <v>3387721.76</v>
      </c>
      <c r="BW6" s="22">
        <v>3331204.4099999997</v>
      </c>
      <c r="BX6" s="22">
        <v>3581996.3499999992</v>
      </c>
      <c r="BY6" s="22">
        <v>3678454.4199999995</v>
      </c>
      <c r="BZ6" s="22">
        <v>4155288.6</v>
      </c>
      <c r="CA6" s="22"/>
      <c r="CB6" s="22"/>
      <c r="CC6" s="22"/>
      <c r="CD6" s="22"/>
      <c r="CE6" s="22"/>
      <c r="CF6" s="22"/>
      <c r="CG6" s="22"/>
      <c r="CH6" s="24">
        <v>4042848</v>
      </c>
      <c r="CI6" s="24">
        <v>4247640</v>
      </c>
      <c r="CJ6" s="24">
        <v>4826320</v>
      </c>
      <c r="CK6" s="24">
        <v>5180888</v>
      </c>
      <c r="CL6" s="24">
        <v>5342256</v>
      </c>
      <c r="CM6" s="24">
        <v>5342256</v>
      </c>
      <c r="CN6" s="24">
        <v>5357712</v>
      </c>
      <c r="CO6" s="24">
        <v>5299752</v>
      </c>
      <c r="CP6" s="24">
        <v>4977568</v>
      </c>
      <c r="CQ6" s="24">
        <v>4795040</v>
      </c>
      <c r="CR6" s="24">
        <v>4391160</v>
      </c>
      <c r="CS6" s="24">
        <v>4333200</v>
      </c>
    </row>
    <row r="7" spans="1:97" x14ac:dyDescent="0.3">
      <c r="A7" s="3" t="s">
        <v>22</v>
      </c>
      <c r="B7" s="25">
        <f>B6/B4</f>
        <v>0.73195915726752903</v>
      </c>
      <c r="C7" s="25">
        <f t="shared" ref="C7:BN7" si="2">C6/C4</f>
        <v>0.70138791341805429</v>
      </c>
      <c r="D7" s="25">
        <f t="shared" si="2"/>
        <v>0.69110761175041602</v>
      </c>
      <c r="E7" s="25">
        <f t="shared" si="2"/>
        <v>0.70639834379317057</v>
      </c>
      <c r="F7" s="25">
        <f t="shared" si="2"/>
        <v>0.70615322739171316</v>
      </c>
      <c r="G7" s="25">
        <f t="shared" si="2"/>
        <v>0.70393462255948425</v>
      </c>
      <c r="H7" s="25">
        <f t="shared" si="2"/>
        <v>0.70164216797044721</v>
      </c>
      <c r="I7" s="25">
        <f t="shared" si="2"/>
        <v>0.70822503912929546</v>
      </c>
      <c r="J7" s="25">
        <f t="shared" si="2"/>
        <v>0.72176420677610131</v>
      </c>
      <c r="K7" s="25">
        <f t="shared" si="2"/>
        <v>0.69982302726118195</v>
      </c>
      <c r="L7" s="25">
        <f t="shared" si="2"/>
        <v>0.66156004766395216</v>
      </c>
      <c r="M7" s="25">
        <f t="shared" si="2"/>
        <v>0.52848343971936473</v>
      </c>
      <c r="N7" s="25">
        <f t="shared" si="2"/>
        <v>0.69673586228646489</v>
      </c>
      <c r="O7" s="25">
        <f t="shared" si="2"/>
        <v>0.64367354739986371</v>
      </c>
      <c r="P7" s="25">
        <f t="shared" si="2"/>
        <v>0.60684179544105066</v>
      </c>
      <c r="Q7" s="25">
        <f t="shared" si="2"/>
        <v>0.64652852175837416</v>
      </c>
      <c r="R7" s="25">
        <f t="shared" si="2"/>
        <v>0.65344235573128517</v>
      </c>
      <c r="S7" s="25">
        <f t="shared" si="2"/>
        <v>0.63885162671380447</v>
      </c>
      <c r="T7" s="25">
        <f t="shared" si="2"/>
        <v>0.64433254587104394</v>
      </c>
      <c r="U7" s="25">
        <f t="shared" si="2"/>
        <v>0.65492835669187255</v>
      </c>
      <c r="V7" s="25">
        <f t="shared" si="2"/>
        <v>0.62025182869936146</v>
      </c>
      <c r="W7" s="25">
        <f t="shared" si="2"/>
        <v>0.62838666961127154</v>
      </c>
      <c r="X7" s="25">
        <f t="shared" si="2"/>
        <v>0.6350581796985395</v>
      </c>
      <c r="Y7" s="25">
        <f t="shared" si="2"/>
        <v>0.56528227341464465</v>
      </c>
      <c r="Z7" s="25">
        <f t="shared" si="2"/>
        <v>0.61278738521922405</v>
      </c>
      <c r="AA7" s="25">
        <f t="shared" si="2"/>
        <v>0.61737146931801323</v>
      </c>
      <c r="AB7" s="25">
        <f t="shared" si="2"/>
        <v>0.62939283573370108</v>
      </c>
      <c r="AC7" s="25">
        <f t="shared" si="2"/>
        <v>0.67317418057315914</v>
      </c>
      <c r="AD7" s="25">
        <f t="shared" si="2"/>
        <v>0.70564168672306571</v>
      </c>
      <c r="AE7" s="25">
        <f t="shared" si="2"/>
        <v>0.72187791531021706</v>
      </c>
      <c r="AF7" s="25">
        <f t="shared" si="2"/>
        <v>0.7573665205700173</v>
      </c>
      <c r="AG7" s="25">
        <f t="shared" si="2"/>
        <v>0.74588449424088665</v>
      </c>
      <c r="AH7" s="25">
        <f t="shared" si="2"/>
        <v>0.73988771454854818</v>
      </c>
      <c r="AI7" s="25">
        <f t="shared" si="2"/>
        <v>0.69578239014127097</v>
      </c>
      <c r="AJ7" s="25">
        <f t="shared" si="2"/>
        <v>0.67697898461766537</v>
      </c>
      <c r="AK7" s="25">
        <f t="shared" si="2"/>
        <v>0.67650526031639791</v>
      </c>
      <c r="AL7" s="25">
        <f t="shared" si="2"/>
        <v>0.66017822385906078</v>
      </c>
      <c r="AM7" s="25">
        <f t="shared" si="2"/>
        <v>0.68512146627177406</v>
      </c>
      <c r="AN7" s="25">
        <f t="shared" si="2"/>
        <v>0.6964776918963006</v>
      </c>
      <c r="AO7" s="25">
        <f t="shared" si="2"/>
        <v>0.66727664605338555</v>
      </c>
      <c r="AP7" s="25">
        <f t="shared" si="2"/>
        <v>0.70598333046411865</v>
      </c>
      <c r="AQ7" s="25">
        <f t="shared" si="2"/>
        <v>0.69909444875083482</v>
      </c>
      <c r="AR7" s="25">
        <f t="shared" si="2"/>
        <v>0.75090495635064103</v>
      </c>
      <c r="AS7" s="25">
        <f t="shared" si="2"/>
        <v>0.7271421483639211</v>
      </c>
      <c r="AT7" s="25">
        <f t="shared" si="2"/>
        <v>0.73658385651289715</v>
      </c>
      <c r="AU7" s="25">
        <f t="shared" si="2"/>
        <v>0.7423627896328675</v>
      </c>
      <c r="AV7" s="25">
        <f t="shared" si="2"/>
        <v>0.73301215084348526</v>
      </c>
      <c r="AW7" s="25">
        <f t="shared" si="2"/>
        <v>0.71029773510623706</v>
      </c>
      <c r="AX7" s="25">
        <f t="shared" si="2"/>
        <v>0.66796639050040363</v>
      </c>
      <c r="AY7" s="25">
        <f t="shared" si="2"/>
        <v>0.6867270022065014</v>
      </c>
      <c r="AZ7" s="25">
        <f t="shared" si="2"/>
        <v>0.67271836226078041</v>
      </c>
      <c r="BA7" s="25">
        <f t="shared" si="2"/>
        <v>0.65555214427800179</v>
      </c>
      <c r="BB7" s="25">
        <f t="shared" si="2"/>
        <v>0.68198509754960512</v>
      </c>
      <c r="BC7" s="25">
        <f t="shared" si="2"/>
        <v>0.68264729331392637</v>
      </c>
      <c r="BD7" s="25">
        <f t="shared" si="2"/>
        <v>0.68739512583904072</v>
      </c>
      <c r="BE7" s="25">
        <f t="shared" si="2"/>
        <v>0.71054019498259235</v>
      </c>
      <c r="BF7" s="25">
        <f t="shared" si="2"/>
        <v>0.72676829600794923</v>
      </c>
      <c r="BG7" s="25">
        <f t="shared" si="2"/>
        <v>0.69153271036048525</v>
      </c>
      <c r="BH7" s="25">
        <f t="shared" si="2"/>
        <v>0.67841616171829944</v>
      </c>
      <c r="BI7" s="25">
        <f t="shared" si="2"/>
        <v>0.64397259693541098</v>
      </c>
      <c r="BJ7" s="25">
        <f t="shared" si="2"/>
        <v>0.69035912419850276</v>
      </c>
      <c r="BK7" s="25">
        <f t="shared" si="2"/>
        <v>0.66802859511040702</v>
      </c>
      <c r="BL7" s="25">
        <f t="shared" si="2"/>
        <v>0.69227788482251706</v>
      </c>
      <c r="BM7" s="25">
        <f t="shared" si="2"/>
        <v>0.72564044076751655</v>
      </c>
      <c r="BN7" s="25">
        <f t="shared" si="2"/>
        <v>0.70448553887142307</v>
      </c>
      <c r="BO7" s="25">
        <f t="shared" ref="BO7:CS7" si="3">BO6/BO4</f>
        <v>0.73866735707682174</v>
      </c>
      <c r="BP7" s="25">
        <f t="shared" si="3"/>
        <v>0.71206947588905345</v>
      </c>
      <c r="BQ7" s="25">
        <f t="shared" si="3"/>
        <v>0.72605867383882583</v>
      </c>
      <c r="BR7" s="25">
        <f t="shared" si="3"/>
        <v>0.74052099604311394</v>
      </c>
      <c r="BS7" s="25">
        <f t="shared" si="3"/>
        <v>0.73998817260199845</v>
      </c>
      <c r="BT7" s="25">
        <f t="shared" si="3"/>
        <v>0.70596764364014586</v>
      </c>
      <c r="BU7" s="25">
        <f t="shared" si="3"/>
        <v>0.68024635661953037</v>
      </c>
      <c r="BV7" s="25">
        <f t="shared" si="3"/>
        <v>0.68819774811206391</v>
      </c>
      <c r="BW7" s="25">
        <f t="shared" si="3"/>
        <v>0.67619233425929115</v>
      </c>
      <c r="BX7" s="25">
        <f t="shared" si="3"/>
        <v>0.6643212239790145</v>
      </c>
      <c r="BY7" s="25">
        <f t="shared" si="3"/>
        <v>0.66307684533787603</v>
      </c>
      <c r="BZ7" s="25">
        <f t="shared" si="3"/>
        <v>0.68647438062256572</v>
      </c>
      <c r="CA7" s="25"/>
      <c r="CB7" s="25"/>
      <c r="CC7" s="25"/>
      <c r="CD7" s="25"/>
      <c r="CE7" s="25"/>
      <c r="CF7" s="25"/>
      <c r="CG7" s="25"/>
      <c r="CH7" s="25">
        <f>CH6/CH4</f>
        <v>0.69903283278187833</v>
      </c>
      <c r="CI7" s="25">
        <f t="shared" si="3"/>
        <v>0.69880429847131831</v>
      </c>
      <c r="CJ7" s="25">
        <f t="shared" si="3"/>
        <v>0.69594056778986468</v>
      </c>
      <c r="CK7" s="25">
        <f t="shared" si="3"/>
        <v>0.69357341675493267</v>
      </c>
      <c r="CL7" s="25">
        <f t="shared" si="3"/>
        <v>0.69039805963760881</v>
      </c>
      <c r="CM7" s="25">
        <f t="shared" si="3"/>
        <v>0.69039805963760881</v>
      </c>
      <c r="CN7" s="25">
        <f t="shared" si="3"/>
        <v>0.68905296038619901</v>
      </c>
      <c r="CO7" s="25">
        <f t="shared" si="3"/>
        <v>0.68868804246467252</v>
      </c>
      <c r="CP7" s="25">
        <f t="shared" si="3"/>
        <v>0.69059532319003369</v>
      </c>
      <c r="CQ7" s="25">
        <f t="shared" si="3"/>
        <v>0.68850726552179653</v>
      </c>
      <c r="CR7" s="25">
        <f t="shared" si="3"/>
        <v>0.69344762458230425</v>
      </c>
      <c r="CS7" s="25">
        <f t="shared" si="3"/>
        <v>0.6930547380812242</v>
      </c>
    </row>
    <row r="8" spans="1:97" x14ac:dyDescent="0.3">
      <c r="A8" s="5" t="s">
        <v>23</v>
      </c>
      <c r="B8" s="10">
        <v>902000</v>
      </c>
      <c r="C8" s="10">
        <v>875000</v>
      </c>
      <c r="D8" s="10">
        <v>1165000</v>
      </c>
      <c r="E8" s="10">
        <v>1130000</v>
      </c>
      <c r="F8" s="10">
        <v>1268000</v>
      </c>
      <c r="G8" s="10">
        <v>1019000</v>
      </c>
      <c r="H8" s="10">
        <v>1151000</v>
      </c>
      <c r="I8" s="10">
        <v>1133000</v>
      </c>
      <c r="J8" s="10">
        <v>1167000</v>
      </c>
      <c r="K8" s="10">
        <v>973000</v>
      </c>
      <c r="L8" s="10">
        <v>953000</v>
      </c>
      <c r="M8" s="10">
        <v>663000</v>
      </c>
      <c r="N8" s="10">
        <v>1009000</v>
      </c>
      <c r="O8" s="10">
        <v>827000</v>
      </c>
      <c r="P8" s="10">
        <v>1128000</v>
      </c>
      <c r="Q8" s="10">
        <v>1059000</v>
      </c>
      <c r="R8" s="10">
        <v>833000</v>
      </c>
      <c r="S8" s="10">
        <v>732000</v>
      </c>
      <c r="T8" s="10">
        <v>860000</v>
      </c>
      <c r="U8" s="10">
        <v>871000</v>
      </c>
      <c r="V8" s="10">
        <v>749000</v>
      </c>
      <c r="W8" s="10">
        <v>768000</v>
      </c>
      <c r="X8" s="10">
        <v>975000</v>
      </c>
      <c r="Y8" s="10">
        <v>616000</v>
      </c>
      <c r="Z8" s="10">
        <v>704000</v>
      </c>
      <c r="AA8" s="10">
        <v>1079000</v>
      </c>
      <c r="AB8" s="10">
        <v>1292000</v>
      </c>
      <c r="AC8" s="10">
        <v>1102000</v>
      </c>
      <c r="AD8" s="10">
        <v>923000</v>
      </c>
      <c r="AE8" s="10">
        <v>1084000</v>
      </c>
      <c r="AF8" s="10">
        <v>1177000</v>
      </c>
      <c r="AG8" s="10">
        <v>1197000</v>
      </c>
      <c r="AH8" s="10">
        <v>1029000</v>
      </c>
      <c r="AI8" s="10">
        <v>975000</v>
      </c>
      <c r="AJ8" s="10">
        <v>765000</v>
      </c>
      <c r="AK8" s="10">
        <v>741000</v>
      </c>
      <c r="AL8" s="10">
        <v>959000</v>
      </c>
      <c r="AM8" s="10">
        <v>969000</v>
      </c>
      <c r="AN8" s="10">
        <v>1088000</v>
      </c>
      <c r="AO8" s="10">
        <v>987000</v>
      </c>
      <c r="AP8" s="10">
        <v>964000</v>
      </c>
      <c r="AQ8" s="10">
        <v>959000</v>
      </c>
      <c r="AR8" s="10">
        <v>1245000</v>
      </c>
      <c r="AS8" s="10">
        <v>1121000</v>
      </c>
      <c r="AT8" s="10">
        <v>1004000</v>
      </c>
      <c r="AU8" s="10">
        <v>1131000</v>
      </c>
      <c r="AV8" s="10">
        <v>730000</v>
      </c>
      <c r="AW8" s="10">
        <v>656000</v>
      </c>
      <c r="AX8" s="10">
        <v>882000</v>
      </c>
      <c r="AY8" s="10">
        <v>890000</v>
      </c>
      <c r="AZ8" s="10">
        <v>998000</v>
      </c>
      <c r="BA8" s="10">
        <v>926000</v>
      </c>
      <c r="BB8" s="10">
        <v>1080000</v>
      </c>
      <c r="BC8" s="10">
        <v>955000</v>
      </c>
      <c r="BD8" s="10">
        <v>1098000</v>
      </c>
      <c r="BE8" s="10">
        <v>1063000</v>
      </c>
      <c r="BF8" s="10">
        <v>814000</v>
      </c>
      <c r="BG8" s="10">
        <v>990000</v>
      </c>
      <c r="BH8" s="10">
        <v>880000</v>
      </c>
      <c r="BI8" s="10">
        <v>568000</v>
      </c>
      <c r="BJ8" s="10">
        <v>981000</v>
      </c>
      <c r="BK8" s="10">
        <v>998000</v>
      </c>
      <c r="BL8" s="10">
        <v>1286000</v>
      </c>
      <c r="BM8" s="10">
        <v>977000</v>
      </c>
      <c r="BN8" s="10">
        <v>1109000</v>
      </c>
      <c r="BO8" s="10">
        <v>932000</v>
      </c>
      <c r="BP8" s="10">
        <v>1359000</v>
      </c>
      <c r="BQ8" s="10">
        <v>1081000</v>
      </c>
      <c r="BR8" s="10">
        <v>907000</v>
      </c>
      <c r="BS8" s="10">
        <v>1039000</v>
      </c>
      <c r="BT8" s="10">
        <v>975000</v>
      </c>
      <c r="BU8" s="10">
        <v>747000</v>
      </c>
      <c r="BV8" s="10">
        <v>893000</v>
      </c>
      <c r="BW8" s="10">
        <v>748000</v>
      </c>
      <c r="BX8" s="10">
        <v>985000</v>
      </c>
      <c r="BY8" s="10">
        <v>911000</v>
      </c>
      <c r="BZ8" s="10">
        <v>1032000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1032000</v>
      </c>
      <c r="CI8" s="10">
        <v>1085000</v>
      </c>
      <c r="CJ8" s="10">
        <v>1230000</v>
      </c>
      <c r="CK8" s="10">
        <v>1317000</v>
      </c>
      <c r="CL8" s="10">
        <v>1354000</v>
      </c>
      <c r="CM8" s="10">
        <v>1354000</v>
      </c>
      <c r="CN8" s="10">
        <v>1358000</v>
      </c>
      <c r="CO8" s="10">
        <v>1343000</v>
      </c>
      <c r="CP8" s="10">
        <v>1262000</v>
      </c>
      <c r="CQ8" s="10">
        <v>1210000</v>
      </c>
      <c r="CR8" s="10">
        <v>1115000</v>
      </c>
      <c r="CS8" s="10">
        <v>1100000</v>
      </c>
    </row>
    <row r="9" spans="1:97" x14ac:dyDescent="0.3">
      <c r="A9" s="3" t="s">
        <v>24</v>
      </c>
      <c r="B9" s="10">
        <v>785000</v>
      </c>
      <c r="C9" s="10">
        <v>908000</v>
      </c>
      <c r="D9" s="10">
        <v>1086000</v>
      </c>
      <c r="E9" s="10">
        <v>1068000</v>
      </c>
      <c r="F9" s="10">
        <v>1246000</v>
      </c>
      <c r="G9" s="10">
        <v>1053000</v>
      </c>
      <c r="H9" s="10">
        <v>1117000</v>
      </c>
      <c r="I9" s="10">
        <v>1053000</v>
      </c>
      <c r="J9" s="10">
        <v>1164000</v>
      </c>
      <c r="K9" s="10">
        <v>908000</v>
      </c>
      <c r="L9" s="10">
        <v>963000</v>
      </c>
      <c r="M9" s="10">
        <v>662000</v>
      </c>
      <c r="N9" s="10">
        <v>955000</v>
      </c>
      <c r="O9" s="10">
        <v>875000</v>
      </c>
      <c r="P9" s="10">
        <v>1045000</v>
      </c>
      <c r="Q9" s="10">
        <v>941000</v>
      </c>
      <c r="R9" s="10">
        <v>864000</v>
      </c>
      <c r="S9" s="10">
        <v>747000</v>
      </c>
      <c r="T9" s="10">
        <v>739000</v>
      </c>
      <c r="U9" s="10">
        <v>811000</v>
      </c>
      <c r="V9" s="10">
        <v>788000</v>
      </c>
      <c r="W9" s="10">
        <v>788000</v>
      </c>
      <c r="X9" s="10">
        <v>911000</v>
      </c>
      <c r="Y9" s="10">
        <v>623000</v>
      </c>
      <c r="Z9" s="10">
        <v>742000</v>
      </c>
      <c r="AA9" s="10">
        <v>1000000</v>
      </c>
      <c r="AB9" s="10">
        <v>1263000</v>
      </c>
      <c r="AC9" s="10">
        <v>1069000</v>
      </c>
      <c r="AD9" s="10">
        <v>977000</v>
      </c>
      <c r="AE9" s="10">
        <v>1073000</v>
      </c>
      <c r="AF9" s="10">
        <v>1173000</v>
      </c>
      <c r="AG9" s="10">
        <v>1101000</v>
      </c>
      <c r="AH9" s="10">
        <v>1010000</v>
      </c>
      <c r="AI9" s="10">
        <v>995000</v>
      </c>
      <c r="AJ9" s="10">
        <v>807000</v>
      </c>
      <c r="AK9" s="10">
        <v>757000</v>
      </c>
      <c r="AL9" s="10">
        <v>883000</v>
      </c>
      <c r="AM9" s="10">
        <v>970000</v>
      </c>
      <c r="AN9" s="10">
        <v>1090000</v>
      </c>
      <c r="AO9" s="10">
        <v>941000</v>
      </c>
      <c r="AP9" s="10">
        <v>931000</v>
      </c>
      <c r="AQ9" s="10">
        <v>984000</v>
      </c>
      <c r="AR9" s="10">
        <v>1181000</v>
      </c>
      <c r="AS9" s="10">
        <v>1115000</v>
      </c>
      <c r="AT9" s="10">
        <v>1034000</v>
      </c>
      <c r="AU9" s="10">
        <v>1116000</v>
      </c>
      <c r="AV9" s="10">
        <v>732000</v>
      </c>
      <c r="AW9" s="10">
        <v>602000</v>
      </c>
      <c r="AX9" s="10">
        <v>841000</v>
      </c>
      <c r="AY9" s="10">
        <v>911000</v>
      </c>
      <c r="AZ9" s="10">
        <v>938000</v>
      </c>
      <c r="BA9" s="10">
        <v>851000</v>
      </c>
      <c r="BB9" s="10">
        <v>1019000</v>
      </c>
      <c r="BC9" s="10">
        <v>929000</v>
      </c>
      <c r="BD9" s="10">
        <v>1083000</v>
      </c>
      <c r="BE9" s="10">
        <v>1022000</v>
      </c>
      <c r="BF9" s="10">
        <v>858000</v>
      </c>
      <c r="BG9" s="10">
        <v>926000</v>
      </c>
      <c r="BH9" s="10">
        <v>872000</v>
      </c>
      <c r="BI9" s="10">
        <v>533000</v>
      </c>
      <c r="BJ9" s="10">
        <v>920000</v>
      </c>
      <c r="BK9" s="10">
        <v>1013000</v>
      </c>
      <c r="BL9" s="10">
        <v>1215000</v>
      </c>
      <c r="BM9" s="10">
        <v>995000</v>
      </c>
      <c r="BN9" s="10">
        <v>1095000</v>
      </c>
      <c r="BO9" s="10">
        <v>934000</v>
      </c>
      <c r="BP9" s="10">
        <v>1262000</v>
      </c>
      <c r="BQ9" s="10">
        <v>1085000</v>
      </c>
      <c r="BR9" s="10">
        <v>912000</v>
      </c>
      <c r="BS9" s="10">
        <v>1066000</v>
      </c>
      <c r="BT9" s="10">
        <v>980000</v>
      </c>
      <c r="BU9" s="10">
        <v>746000</v>
      </c>
      <c r="BV9" s="10">
        <v>821000</v>
      </c>
      <c r="BW9" s="10">
        <v>824000</v>
      </c>
      <c r="BX9" s="10">
        <v>919000</v>
      </c>
      <c r="BY9" s="10">
        <v>924000</v>
      </c>
      <c r="BZ9" s="10">
        <v>1040000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1032000</v>
      </c>
      <c r="CI9" s="10">
        <v>1085000</v>
      </c>
      <c r="CJ9" s="10">
        <v>1230000</v>
      </c>
      <c r="CK9" s="10">
        <v>1317000</v>
      </c>
      <c r="CL9" s="10">
        <v>1354000</v>
      </c>
      <c r="CM9" s="10">
        <v>1354000</v>
      </c>
      <c r="CN9" s="10">
        <v>1358000</v>
      </c>
      <c r="CO9" s="10">
        <v>1343000</v>
      </c>
      <c r="CP9" s="10">
        <v>1262000</v>
      </c>
      <c r="CQ9" s="10">
        <v>1210000</v>
      </c>
      <c r="CR9" s="10">
        <v>1115000</v>
      </c>
      <c r="CS9" s="10">
        <v>1100000</v>
      </c>
    </row>
    <row r="10" spans="1:97" x14ac:dyDescent="0.3">
      <c r="A10" s="3" t="s">
        <v>3</v>
      </c>
      <c r="B10" s="15">
        <v>301180.81</v>
      </c>
      <c r="C10" s="15">
        <v>307318.05000000005</v>
      </c>
      <c r="D10" s="15">
        <v>325658.78000000003</v>
      </c>
      <c r="E10" s="15">
        <v>344629.68000000005</v>
      </c>
      <c r="F10" s="15">
        <v>376196.52</v>
      </c>
      <c r="G10" s="15">
        <v>347616.6</v>
      </c>
      <c r="H10" s="15">
        <v>345535.14999999997</v>
      </c>
      <c r="I10" s="15">
        <v>345372.83999999997</v>
      </c>
      <c r="J10" s="15">
        <v>341255.4</v>
      </c>
      <c r="K10" s="15">
        <v>334603.78000000009</v>
      </c>
      <c r="L10" s="15">
        <v>331334.92999999993</v>
      </c>
      <c r="M10" s="15">
        <v>341414.84</v>
      </c>
      <c r="N10" s="15">
        <v>335728.72</v>
      </c>
      <c r="O10" s="15">
        <v>331796.15999999997</v>
      </c>
      <c r="P10" s="15">
        <v>364387.81000000006</v>
      </c>
      <c r="Q10" s="15">
        <v>357903.08000000007</v>
      </c>
      <c r="R10" s="15">
        <v>360053.42</v>
      </c>
      <c r="S10" s="15">
        <v>326162.12000000011</v>
      </c>
      <c r="T10" s="15">
        <v>319771.54000000004</v>
      </c>
      <c r="U10" s="15">
        <v>323957.87</v>
      </c>
      <c r="V10" s="15">
        <v>322760.15999999997</v>
      </c>
      <c r="W10" s="15">
        <v>305028.21000000002</v>
      </c>
      <c r="X10" s="15">
        <v>323268.66999999993</v>
      </c>
      <c r="Y10" s="15">
        <v>320273.82</v>
      </c>
      <c r="Z10" s="15">
        <v>294694.18000000005</v>
      </c>
      <c r="AA10" s="15">
        <v>297332.78000000003</v>
      </c>
      <c r="AB10" s="15">
        <v>304248.61</v>
      </c>
      <c r="AC10" s="15">
        <v>310793.28999999992</v>
      </c>
      <c r="AD10" s="15">
        <v>327126.21000000008</v>
      </c>
      <c r="AE10" s="15">
        <v>298117.31</v>
      </c>
      <c r="AF10" s="15">
        <v>290843.58</v>
      </c>
      <c r="AG10" s="15">
        <v>286780.52</v>
      </c>
      <c r="AH10" s="15">
        <v>338481.00999999989</v>
      </c>
      <c r="AI10" s="15">
        <v>387703.43000000005</v>
      </c>
      <c r="AJ10" s="15">
        <v>343037.11999999994</v>
      </c>
      <c r="AK10" s="15">
        <v>373138.35</v>
      </c>
      <c r="AL10" s="15">
        <v>374548.56000000006</v>
      </c>
      <c r="AM10" s="15">
        <v>349835.99999999994</v>
      </c>
      <c r="AN10" s="15">
        <v>357467.42000000004</v>
      </c>
      <c r="AO10" s="15">
        <v>396752.31</v>
      </c>
      <c r="AP10" s="15">
        <v>395253.49</v>
      </c>
      <c r="AQ10" s="15">
        <v>356563.03999999986</v>
      </c>
      <c r="AR10" s="15">
        <v>382036.43000000011</v>
      </c>
      <c r="AS10" s="15">
        <v>400747.64000000013</v>
      </c>
      <c r="AT10" s="15">
        <v>378881.32</v>
      </c>
      <c r="AU10" s="15">
        <v>354022.97000000009</v>
      </c>
      <c r="AV10" s="15">
        <v>356803.03</v>
      </c>
      <c r="AW10" s="15">
        <v>333611.41000000003</v>
      </c>
      <c r="AX10" s="15">
        <v>360593</v>
      </c>
      <c r="AY10" s="15">
        <v>366309.44000000006</v>
      </c>
      <c r="AZ10" s="15">
        <v>395332.05000000005</v>
      </c>
      <c r="BA10" s="15">
        <v>390221.65999999992</v>
      </c>
      <c r="BB10" s="15">
        <v>370896.74</v>
      </c>
      <c r="BC10" s="15">
        <v>372995.74000000005</v>
      </c>
      <c r="BD10" s="15">
        <v>386195.5400000001</v>
      </c>
      <c r="BE10" s="15">
        <v>384220.55000000005</v>
      </c>
      <c r="BF10" s="15">
        <v>376520.35</v>
      </c>
      <c r="BG10" s="15">
        <v>395458.24000000005</v>
      </c>
      <c r="BH10" s="15">
        <v>356699.28999999992</v>
      </c>
      <c r="BI10" s="15">
        <v>369084.54</v>
      </c>
      <c r="BJ10" s="15">
        <v>377579.06</v>
      </c>
      <c r="BK10" s="15">
        <v>389241.19</v>
      </c>
      <c r="BL10" s="15">
        <v>401026.89</v>
      </c>
      <c r="BM10" s="15">
        <v>373497.57999999996</v>
      </c>
      <c r="BN10" s="15">
        <v>389958.89999999997</v>
      </c>
      <c r="BO10" s="15">
        <v>396963.93</v>
      </c>
      <c r="BP10" s="15">
        <v>425741.85</v>
      </c>
      <c r="BQ10" s="15">
        <v>426998.18</v>
      </c>
      <c r="BR10" s="15">
        <v>417526.23</v>
      </c>
      <c r="BS10" s="15">
        <v>407021.96000000008</v>
      </c>
      <c r="BT10" s="15">
        <v>423802.58000000007</v>
      </c>
      <c r="BU10" s="15">
        <v>419810.92000000004</v>
      </c>
      <c r="BV10" s="15">
        <v>417488.55999999994</v>
      </c>
      <c r="BW10" s="15">
        <v>409076.74000000005</v>
      </c>
      <c r="BX10" s="15">
        <v>430171.54000000004</v>
      </c>
      <c r="BY10" s="15">
        <v>427994.83</v>
      </c>
      <c r="BZ10" s="15">
        <v>430191.37999999995</v>
      </c>
      <c r="CA10" s="15"/>
      <c r="CB10" s="15"/>
      <c r="CC10" s="15"/>
      <c r="CD10" s="15"/>
      <c r="CE10" s="15"/>
      <c r="CF10" s="15"/>
      <c r="CG10" s="15"/>
      <c r="CH10" s="26">
        <v>424669.05072499992</v>
      </c>
      <c r="CI10" s="26">
        <v>424669.05072499992</v>
      </c>
      <c r="CJ10" s="26">
        <v>424669.05072499992</v>
      </c>
      <c r="CK10" s="26">
        <v>424669.05072499992</v>
      </c>
      <c r="CL10" s="26">
        <v>424669.05072499992</v>
      </c>
      <c r="CM10" s="26">
        <v>424669.05072499992</v>
      </c>
      <c r="CN10" s="26">
        <v>424669.05072499992</v>
      </c>
      <c r="CO10" s="26">
        <v>424669.05072499992</v>
      </c>
      <c r="CP10" s="26">
        <v>424669.05072499992</v>
      </c>
      <c r="CQ10" s="26">
        <v>424669.05072499992</v>
      </c>
      <c r="CR10" s="26">
        <v>424669.05072499992</v>
      </c>
      <c r="CS10" s="26">
        <v>424669.05072499992</v>
      </c>
    </row>
    <row r="11" spans="1:97" x14ac:dyDescent="0.3">
      <c r="A11" s="3" t="s">
        <v>4</v>
      </c>
      <c r="B11" s="15">
        <v>382943.89</v>
      </c>
      <c r="C11" s="15">
        <v>363229.29000000004</v>
      </c>
      <c r="D11" s="15">
        <v>388229.7</v>
      </c>
      <c r="E11" s="15">
        <v>383942.24</v>
      </c>
      <c r="F11" s="15">
        <v>396985.58</v>
      </c>
      <c r="G11" s="15">
        <v>368392.75</v>
      </c>
      <c r="H11" s="15">
        <v>471153.02</v>
      </c>
      <c r="I11" s="15">
        <v>443735.52</v>
      </c>
      <c r="J11" s="15">
        <v>461871.68</v>
      </c>
      <c r="K11" s="15">
        <v>459502.43</v>
      </c>
      <c r="L11" s="15">
        <v>488296.98</v>
      </c>
      <c r="M11" s="15">
        <v>437095.08</v>
      </c>
      <c r="N11" s="15">
        <v>493102.58</v>
      </c>
      <c r="O11" s="15">
        <v>465409.95000000007</v>
      </c>
      <c r="P11" s="15">
        <v>480267.52000000002</v>
      </c>
      <c r="Q11" s="15">
        <v>481105.16000000003</v>
      </c>
      <c r="R11" s="15">
        <v>489003.54000000004</v>
      </c>
      <c r="S11" s="15">
        <v>457244.87000000005</v>
      </c>
      <c r="T11" s="15">
        <v>423766.62</v>
      </c>
      <c r="U11" s="15">
        <v>457078.61000000004</v>
      </c>
      <c r="V11" s="15">
        <v>451878.41000000003</v>
      </c>
      <c r="W11" s="15">
        <v>427548.17000000004</v>
      </c>
      <c r="X11" s="15">
        <v>441006.69</v>
      </c>
      <c r="Y11" s="15">
        <v>415529.2</v>
      </c>
      <c r="Z11" s="15">
        <v>424299.56000000006</v>
      </c>
      <c r="AA11" s="15">
        <v>536831.52</v>
      </c>
      <c r="AB11" s="15">
        <v>489775.59</v>
      </c>
      <c r="AC11" s="15">
        <v>553281.99</v>
      </c>
      <c r="AD11" s="15">
        <v>527631.67000000004</v>
      </c>
      <c r="AE11" s="15">
        <v>496185.25</v>
      </c>
      <c r="AF11" s="15">
        <v>540520.89</v>
      </c>
      <c r="AG11" s="15">
        <v>586375.10000000009</v>
      </c>
      <c r="AH11" s="15">
        <v>541117.8600000001</v>
      </c>
      <c r="AI11" s="15">
        <v>556757.12</v>
      </c>
      <c r="AJ11" s="15">
        <v>498673.44000000006</v>
      </c>
      <c r="AK11" s="15">
        <v>533715.16</v>
      </c>
      <c r="AL11" s="15">
        <v>544947.35000000009</v>
      </c>
      <c r="AM11" s="15">
        <v>529935.26</v>
      </c>
      <c r="AN11" s="15">
        <v>570607.19999999995</v>
      </c>
      <c r="AO11" s="15">
        <v>530050.32000000007</v>
      </c>
      <c r="AP11" s="15">
        <v>529313.12</v>
      </c>
      <c r="AQ11" s="15">
        <v>567773.65</v>
      </c>
      <c r="AR11" s="15">
        <v>565502.99</v>
      </c>
      <c r="AS11" s="15">
        <v>552321.65</v>
      </c>
      <c r="AT11" s="15">
        <v>553010.22</v>
      </c>
      <c r="AU11" s="15">
        <v>524868.05000000005</v>
      </c>
      <c r="AV11" s="15">
        <v>483116.69</v>
      </c>
      <c r="AW11" s="15">
        <v>466380.08</v>
      </c>
      <c r="AX11" s="15">
        <v>499561.5</v>
      </c>
      <c r="AY11" s="15">
        <v>559991.12</v>
      </c>
      <c r="AZ11" s="15">
        <v>605884.14</v>
      </c>
      <c r="BA11" s="15">
        <v>561209.16</v>
      </c>
      <c r="BB11" s="15">
        <v>566366.66</v>
      </c>
      <c r="BC11" s="15">
        <v>492396.31000000006</v>
      </c>
      <c r="BD11" s="15">
        <v>554530.34</v>
      </c>
      <c r="BE11" s="15">
        <v>532969.49</v>
      </c>
      <c r="BF11" s="15">
        <v>490332.30000000005</v>
      </c>
      <c r="BG11" s="15">
        <v>566407.04</v>
      </c>
      <c r="BH11" s="15">
        <v>556851.75</v>
      </c>
      <c r="BI11" s="15">
        <v>484408.61000000004</v>
      </c>
      <c r="BJ11" s="15">
        <v>517258.92</v>
      </c>
      <c r="BK11" s="15">
        <v>557783.01</v>
      </c>
      <c r="BL11" s="15">
        <v>562981.76</v>
      </c>
      <c r="BM11" s="15">
        <v>528308.26</v>
      </c>
      <c r="BN11" s="15">
        <v>540023.91999999993</v>
      </c>
      <c r="BO11" s="15">
        <v>538344.97</v>
      </c>
      <c r="BP11" s="15">
        <v>583621.16</v>
      </c>
      <c r="BQ11" s="15">
        <v>535666.71</v>
      </c>
      <c r="BR11" s="15">
        <v>517368.27</v>
      </c>
      <c r="BS11" s="15">
        <v>580789.85000000009</v>
      </c>
      <c r="BT11" s="15">
        <v>526755.76</v>
      </c>
      <c r="BU11" s="15">
        <v>514407.93000000005</v>
      </c>
      <c r="BV11" s="15">
        <v>539972.47</v>
      </c>
      <c r="BW11" s="15">
        <v>550265.94999999995</v>
      </c>
      <c r="BX11" s="15">
        <v>577586.91</v>
      </c>
      <c r="BY11" s="15">
        <v>573816.03</v>
      </c>
      <c r="BZ11" s="15">
        <v>608176.35</v>
      </c>
      <c r="CA11" s="15"/>
      <c r="CB11" s="15"/>
      <c r="CC11" s="15"/>
      <c r="CD11" s="15"/>
      <c r="CE11" s="15"/>
      <c r="CF11" s="15"/>
      <c r="CG11" s="15"/>
      <c r="CH11" s="26">
        <v>525714.60984156316</v>
      </c>
      <c r="CI11" s="26">
        <v>543816.72661840008</v>
      </c>
      <c r="CJ11" s="26">
        <v>564706.58028686454</v>
      </c>
      <c r="CK11" s="26">
        <v>574454.57289818989</v>
      </c>
      <c r="CL11" s="26">
        <v>584202.56550951512</v>
      </c>
      <c r="CM11" s="26">
        <v>584202.56550951512</v>
      </c>
      <c r="CN11" s="26">
        <v>596738.29501246801</v>
      </c>
      <c r="CO11" s="26">
        <v>575857.52785337425</v>
      </c>
      <c r="CP11" s="26">
        <v>567494.31717849197</v>
      </c>
      <c r="CQ11" s="26">
        <v>556345.18691385631</v>
      </c>
      <c r="CR11" s="26">
        <v>552169.0334820376</v>
      </c>
      <c r="CS11" s="26">
        <v>550776.98233809811</v>
      </c>
    </row>
    <row r="12" spans="1:97" x14ac:dyDescent="0.3">
      <c r="A12" s="3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</row>
    <row r="13" spans="1:97" x14ac:dyDescent="0.3">
      <c r="A13" s="3" t="s">
        <v>5</v>
      </c>
      <c r="B13" s="15">
        <v>259773.65</v>
      </c>
      <c r="C13" s="15">
        <v>256496.92</v>
      </c>
      <c r="D13" s="15">
        <v>331690.48</v>
      </c>
      <c r="E13" s="15">
        <v>346403.47</v>
      </c>
      <c r="F13" s="15">
        <v>450658.4</v>
      </c>
      <c r="G13" s="15">
        <v>376970.85</v>
      </c>
      <c r="H13" s="15">
        <v>453271.18</v>
      </c>
      <c r="I13" s="15">
        <v>442643.17</v>
      </c>
      <c r="J13" s="15">
        <v>426384.2</v>
      </c>
      <c r="K13" s="15">
        <v>366187.76</v>
      </c>
      <c r="L13" s="15">
        <v>323678.18</v>
      </c>
      <c r="M13" s="15">
        <v>291417.57</v>
      </c>
      <c r="N13" s="15">
        <v>309186.59999999998</v>
      </c>
      <c r="O13" s="15">
        <v>273610.48</v>
      </c>
      <c r="P13" s="15">
        <v>342242.76</v>
      </c>
      <c r="Q13" s="15">
        <v>331729.12</v>
      </c>
      <c r="R13" s="15">
        <v>328407.65999999997</v>
      </c>
      <c r="S13" s="15">
        <v>294558.09000000003</v>
      </c>
      <c r="T13" s="15">
        <v>355601.61</v>
      </c>
      <c r="U13" s="15">
        <v>372979.58</v>
      </c>
      <c r="V13" s="15">
        <v>299808.03999999998</v>
      </c>
      <c r="W13" s="15">
        <v>279711.09000000003</v>
      </c>
      <c r="X13" s="15">
        <v>314610.26</v>
      </c>
      <c r="Y13" s="15">
        <v>233573.97</v>
      </c>
      <c r="Z13" s="15">
        <v>226348.7</v>
      </c>
      <c r="AA13" s="15">
        <v>297348.47999999998</v>
      </c>
      <c r="AB13" s="15">
        <v>356509.01</v>
      </c>
      <c r="AC13" s="15">
        <v>336834.79</v>
      </c>
      <c r="AD13" s="15">
        <v>358952.17</v>
      </c>
      <c r="AE13" s="15">
        <v>379631.07</v>
      </c>
      <c r="AF13" s="15">
        <v>413842.68</v>
      </c>
      <c r="AG13" s="15">
        <v>463329.65</v>
      </c>
      <c r="AH13" s="15">
        <v>393211.67</v>
      </c>
      <c r="AI13" s="15">
        <v>364491.99</v>
      </c>
      <c r="AJ13" s="15">
        <v>267654.83</v>
      </c>
      <c r="AK13" s="15">
        <v>289606.69</v>
      </c>
      <c r="AL13" s="15">
        <v>286263.98</v>
      </c>
      <c r="AM13" s="15">
        <v>265276.73</v>
      </c>
      <c r="AN13" s="15">
        <v>344326.56</v>
      </c>
      <c r="AO13" s="15">
        <v>334163.83</v>
      </c>
      <c r="AP13" s="15">
        <v>373196.74</v>
      </c>
      <c r="AQ13" s="15">
        <v>436865.68</v>
      </c>
      <c r="AR13" s="15">
        <v>537290.29</v>
      </c>
      <c r="AS13" s="15">
        <v>511488.33</v>
      </c>
      <c r="AT13" s="15">
        <v>435818.23</v>
      </c>
      <c r="AU13" s="15">
        <v>402562.59</v>
      </c>
      <c r="AV13" s="15">
        <v>289314.46999999997</v>
      </c>
      <c r="AW13" s="15">
        <v>244316.62</v>
      </c>
      <c r="AX13" s="15">
        <v>279938.23</v>
      </c>
      <c r="AY13" s="15">
        <v>315997.96999999997</v>
      </c>
      <c r="AZ13" s="15">
        <v>393790.83</v>
      </c>
      <c r="BA13" s="15">
        <v>385175.08</v>
      </c>
      <c r="BB13" s="15">
        <v>436640.35</v>
      </c>
      <c r="BC13" s="15">
        <v>392707.28</v>
      </c>
      <c r="BD13" s="15">
        <v>492900.52</v>
      </c>
      <c r="BE13" s="15">
        <v>474556.29</v>
      </c>
      <c r="BF13" s="15">
        <v>391146.75</v>
      </c>
      <c r="BG13" s="15">
        <v>418464.48</v>
      </c>
      <c r="BH13" s="15">
        <v>356043.7</v>
      </c>
      <c r="BI13" s="15">
        <v>281815.90999999997</v>
      </c>
      <c r="BJ13" s="15">
        <v>343960.59</v>
      </c>
      <c r="BK13" s="15">
        <v>340706.55</v>
      </c>
      <c r="BL13" s="15">
        <v>437172.03</v>
      </c>
      <c r="BM13" s="15">
        <v>361481.98</v>
      </c>
      <c r="BN13" s="15">
        <v>429089.33</v>
      </c>
      <c r="BO13" s="15">
        <v>522420.12</v>
      </c>
      <c r="BP13" s="15">
        <v>633054.93000000005</v>
      </c>
      <c r="BQ13" s="15">
        <v>477582.86</v>
      </c>
      <c r="BR13" s="15">
        <v>493701.57</v>
      </c>
      <c r="BS13" s="15">
        <v>392604.06</v>
      </c>
      <c r="BT13" s="15">
        <v>330816</v>
      </c>
      <c r="BU13" s="15">
        <v>214885.9</v>
      </c>
      <c r="BV13" s="15">
        <v>321867.01</v>
      </c>
      <c r="BW13" s="15">
        <v>311152.36</v>
      </c>
      <c r="BX13" s="15">
        <v>327367.26</v>
      </c>
      <c r="BY13" s="15">
        <v>397579.76</v>
      </c>
      <c r="BZ13" s="15">
        <v>367754.73</v>
      </c>
      <c r="CA13" s="15"/>
      <c r="CB13" s="15"/>
      <c r="CC13" s="15"/>
      <c r="CD13" s="15"/>
      <c r="CE13" s="15"/>
      <c r="CF13" s="15"/>
      <c r="CG13" s="15"/>
      <c r="CH13" s="26">
        <v>420043.34480082482</v>
      </c>
      <c r="CI13" s="26">
        <v>441615.33828381292</v>
      </c>
      <c r="CJ13" s="26">
        <v>500633.05630330864</v>
      </c>
      <c r="CK13" s="26">
        <v>536043.68711500615</v>
      </c>
      <c r="CL13" s="26">
        <v>551103.38067860156</v>
      </c>
      <c r="CM13" s="26">
        <v>551103.38067860156</v>
      </c>
      <c r="CN13" s="26">
        <v>552731.45565844979</v>
      </c>
      <c r="CO13" s="26">
        <v>546626.17448401917</v>
      </c>
      <c r="CP13" s="26">
        <v>513657.65614209394</v>
      </c>
      <c r="CQ13" s="26">
        <v>492492.6814040679</v>
      </c>
      <c r="CR13" s="26">
        <v>453825.90063267411</v>
      </c>
      <c r="CS13" s="26">
        <v>447720.61945824354</v>
      </c>
    </row>
    <row r="14" spans="1:97" x14ac:dyDescent="0.3">
      <c r="A14" s="3" t="s">
        <v>6</v>
      </c>
      <c r="B14" s="15">
        <v>178088.47</v>
      </c>
      <c r="C14" s="15">
        <v>259079.30999999997</v>
      </c>
      <c r="D14" s="15">
        <v>216831.6</v>
      </c>
      <c r="E14" s="15">
        <v>259626.89999999997</v>
      </c>
      <c r="F14" s="15">
        <v>279425.2099999999</v>
      </c>
      <c r="G14" s="15">
        <v>316987.15000000008</v>
      </c>
      <c r="H14" s="15">
        <v>248120.75999999989</v>
      </c>
      <c r="I14" s="15">
        <v>187661.74</v>
      </c>
      <c r="J14" s="15">
        <v>262379.49</v>
      </c>
      <c r="K14" s="15">
        <v>177109.11999999997</v>
      </c>
      <c r="L14" s="15">
        <v>233507.87</v>
      </c>
      <c r="M14" s="15">
        <v>327354.92000000004</v>
      </c>
      <c r="N14" s="15">
        <v>210493.4</v>
      </c>
      <c r="O14" s="15">
        <v>202293.08999999997</v>
      </c>
      <c r="P14" s="15">
        <v>239297.95000000004</v>
      </c>
      <c r="Q14" s="15">
        <v>184547.25</v>
      </c>
      <c r="R14" s="15">
        <v>157826.06</v>
      </c>
      <c r="S14" s="15">
        <v>140072.9</v>
      </c>
      <c r="T14" s="15">
        <v>170644.60000000006</v>
      </c>
      <c r="U14" s="15">
        <v>172130.43999999997</v>
      </c>
      <c r="V14" s="15">
        <v>182175.36000000004</v>
      </c>
      <c r="W14" s="15">
        <v>238989.2</v>
      </c>
      <c r="X14" s="15">
        <v>251072.87000000002</v>
      </c>
      <c r="Y14" s="15">
        <v>294318.8</v>
      </c>
      <c r="Z14" s="15">
        <v>152800.68999999997</v>
      </c>
      <c r="AA14" s="15">
        <v>146825.09</v>
      </c>
      <c r="AB14" s="15">
        <v>163796.01999999999</v>
      </c>
      <c r="AC14" s="15">
        <v>179513.99</v>
      </c>
      <c r="AD14" s="15">
        <v>176050.12000000002</v>
      </c>
      <c r="AE14" s="15">
        <v>189198.22</v>
      </c>
      <c r="AF14" s="15">
        <v>178863.42</v>
      </c>
      <c r="AG14" s="15">
        <v>203665.14</v>
      </c>
      <c r="AH14" s="15">
        <v>225284.00999999998</v>
      </c>
      <c r="AI14" s="15">
        <v>219618.75000000003</v>
      </c>
      <c r="AJ14" s="15">
        <v>321676.94999999995</v>
      </c>
      <c r="AK14" s="15">
        <v>366136.01999999996</v>
      </c>
      <c r="AL14" s="15">
        <v>159766.69000000003</v>
      </c>
      <c r="AM14" s="15">
        <v>161127.19000000003</v>
      </c>
      <c r="AN14" s="15">
        <v>180397.9</v>
      </c>
      <c r="AO14" s="15">
        <v>184125.15</v>
      </c>
      <c r="AP14" s="15">
        <v>205978.00999999998</v>
      </c>
      <c r="AQ14" s="15">
        <v>196513.56999999995</v>
      </c>
      <c r="AR14" s="15">
        <v>204621.39</v>
      </c>
      <c r="AS14" s="15">
        <v>201594.43</v>
      </c>
      <c r="AT14" s="15">
        <v>213056.40999999995</v>
      </c>
      <c r="AU14" s="15">
        <v>177505.31</v>
      </c>
      <c r="AV14" s="15">
        <v>179633.41999999998</v>
      </c>
      <c r="AW14" s="15">
        <v>183636.83</v>
      </c>
      <c r="AX14" s="15">
        <v>176998.94999999998</v>
      </c>
      <c r="AY14" s="15">
        <v>167210.98000000001</v>
      </c>
      <c r="AZ14" s="15">
        <v>183283.84999999998</v>
      </c>
      <c r="BA14" s="15">
        <v>180526.22000000003</v>
      </c>
      <c r="BB14" s="15">
        <v>175033.91999999998</v>
      </c>
      <c r="BC14" s="15">
        <v>192571.02000000002</v>
      </c>
      <c r="BD14" s="15">
        <v>182485.00999999998</v>
      </c>
      <c r="BE14" s="15">
        <v>176990.28999999998</v>
      </c>
      <c r="BF14" s="15">
        <v>187033.65000000002</v>
      </c>
      <c r="BG14" s="15">
        <v>185578.1</v>
      </c>
      <c r="BH14" s="15">
        <v>231520.87000000002</v>
      </c>
      <c r="BI14" s="15">
        <v>240181.39</v>
      </c>
      <c r="BJ14" s="15">
        <v>135577.63</v>
      </c>
      <c r="BK14" s="15">
        <v>136896.23000000001</v>
      </c>
      <c r="BL14" s="15">
        <v>118739.9</v>
      </c>
      <c r="BM14" s="15">
        <v>137622.76</v>
      </c>
      <c r="BN14" s="15">
        <v>151326.02000000002</v>
      </c>
      <c r="BO14" s="15">
        <v>149253.96999999997</v>
      </c>
      <c r="BP14" s="15">
        <v>155698.06000000006</v>
      </c>
      <c r="BQ14" s="15">
        <v>153231.93000000002</v>
      </c>
      <c r="BR14" s="15">
        <v>161684.99999999997</v>
      </c>
      <c r="BS14" s="15">
        <v>187158.04</v>
      </c>
      <c r="BT14" s="15">
        <v>196363.69999999998</v>
      </c>
      <c r="BU14" s="15">
        <v>189546.44000000003</v>
      </c>
      <c r="BV14" s="15">
        <v>154322.07</v>
      </c>
      <c r="BW14" s="15">
        <v>161561.57</v>
      </c>
      <c r="BX14" s="15">
        <v>154938.52000000002</v>
      </c>
      <c r="BY14" s="15">
        <v>160573.47000000003</v>
      </c>
      <c r="BZ14" s="15">
        <v>157357.65</v>
      </c>
      <c r="CA14" s="15"/>
      <c r="CB14" s="15"/>
      <c r="CC14" s="15"/>
      <c r="CD14" s="15"/>
      <c r="CE14" s="15"/>
      <c r="CF14" s="15"/>
      <c r="CG14" s="15"/>
      <c r="CH14" s="26">
        <v>160030.25431780508</v>
      </c>
      <c r="CI14" s="26">
        <v>162786.34020234353</v>
      </c>
      <c r="CJ14" s="26">
        <v>170326.575169477</v>
      </c>
      <c r="CK14" s="26">
        <v>174850.71614975709</v>
      </c>
      <c r="CL14" s="26">
        <v>176774.77610688767</v>
      </c>
      <c r="CM14" s="26">
        <v>176774.77610688767</v>
      </c>
      <c r="CN14" s="26">
        <v>176982.78258873965</v>
      </c>
      <c r="CO14" s="26">
        <v>176202.75828179478</v>
      </c>
      <c r="CP14" s="26">
        <v>171990.62702429265</v>
      </c>
      <c r="CQ14" s="26">
        <v>169286.54276021721</v>
      </c>
      <c r="CR14" s="26">
        <v>164346.3888162332</v>
      </c>
      <c r="CS14" s="26">
        <v>163566.36450928837</v>
      </c>
    </row>
    <row r="15" spans="1:97" x14ac:dyDescent="0.3">
      <c r="A15" s="5" t="s">
        <v>7</v>
      </c>
      <c r="B15" s="7">
        <f>SUM(B10:B14)</f>
        <v>1121986.82</v>
      </c>
      <c r="C15" s="7">
        <f t="shared" ref="C15:BN15" si="4">SUM(C10:C14)</f>
        <v>1186123.57</v>
      </c>
      <c r="D15" s="7">
        <f t="shared" si="4"/>
        <v>1262410.56</v>
      </c>
      <c r="E15" s="7">
        <f t="shared" si="4"/>
        <v>1334602.29</v>
      </c>
      <c r="F15" s="7">
        <f t="shared" si="4"/>
        <v>1503265.71</v>
      </c>
      <c r="G15" s="7">
        <f t="shared" si="4"/>
        <v>1409967.35</v>
      </c>
      <c r="H15" s="7">
        <f t="shared" si="4"/>
        <v>1518080.1099999999</v>
      </c>
      <c r="I15" s="7">
        <f t="shared" si="4"/>
        <v>1419413.27</v>
      </c>
      <c r="J15" s="7">
        <f t="shared" si="4"/>
        <v>1491890.77</v>
      </c>
      <c r="K15" s="7">
        <f t="shared" si="4"/>
        <v>1337403.0900000001</v>
      </c>
      <c r="L15" s="7">
        <f t="shared" si="4"/>
        <v>1376817.96</v>
      </c>
      <c r="M15" s="7">
        <f t="shared" si="4"/>
        <v>1397282.4100000001</v>
      </c>
      <c r="N15" s="7">
        <f t="shared" si="4"/>
        <v>1348511.2999999998</v>
      </c>
      <c r="O15" s="7">
        <f t="shared" si="4"/>
        <v>1273109.6800000002</v>
      </c>
      <c r="P15" s="7">
        <f t="shared" si="4"/>
        <v>1426196.04</v>
      </c>
      <c r="Q15" s="7">
        <f t="shared" si="4"/>
        <v>1355284.61</v>
      </c>
      <c r="R15" s="7">
        <f t="shared" si="4"/>
        <v>1335290.68</v>
      </c>
      <c r="S15" s="7">
        <f t="shared" si="4"/>
        <v>1218037.9800000002</v>
      </c>
      <c r="T15" s="7">
        <f t="shared" si="4"/>
        <v>1269784.3700000001</v>
      </c>
      <c r="U15" s="7">
        <f t="shared" si="4"/>
        <v>1326146.5</v>
      </c>
      <c r="V15" s="7">
        <f t="shared" si="4"/>
        <v>1256621.9700000002</v>
      </c>
      <c r="W15" s="7">
        <f t="shared" si="4"/>
        <v>1251276.6700000002</v>
      </c>
      <c r="X15" s="7">
        <f t="shared" si="4"/>
        <v>1329958.49</v>
      </c>
      <c r="Y15" s="7">
        <f t="shared" si="4"/>
        <v>1263695.79</v>
      </c>
      <c r="Z15" s="7">
        <f t="shared" si="4"/>
        <v>1098143.1300000001</v>
      </c>
      <c r="AA15" s="7">
        <f t="shared" si="4"/>
        <v>1278337.8700000001</v>
      </c>
      <c r="AB15" s="7">
        <f t="shared" si="4"/>
        <v>1314329.23</v>
      </c>
      <c r="AC15" s="7">
        <f t="shared" si="4"/>
        <v>1380424.0599999998</v>
      </c>
      <c r="AD15" s="7">
        <f t="shared" si="4"/>
        <v>1389760.1700000002</v>
      </c>
      <c r="AE15" s="7">
        <f t="shared" si="4"/>
        <v>1363131.85</v>
      </c>
      <c r="AF15" s="7">
        <f t="shared" si="4"/>
        <v>1424070.5699999998</v>
      </c>
      <c r="AG15" s="7">
        <f t="shared" si="4"/>
        <v>1540150.4100000001</v>
      </c>
      <c r="AH15" s="7">
        <f t="shared" si="4"/>
        <v>1498094.55</v>
      </c>
      <c r="AI15" s="7">
        <f t="shared" si="4"/>
        <v>1528571.29</v>
      </c>
      <c r="AJ15" s="7">
        <f t="shared" si="4"/>
        <v>1431042.34</v>
      </c>
      <c r="AK15" s="7">
        <f t="shared" si="4"/>
        <v>1562596.22</v>
      </c>
      <c r="AL15" s="7">
        <f t="shared" si="4"/>
        <v>1365526.58</v>
      </c>
      <c r="AM15" s="7">
        <f t="shared" si="4"/>
        <v>1306175.18</v>
      </c>
      <c r="AN15" s="7">
        <f t="shared" si="4"/>
        <v>1452799.0799999998</v>
      </c>
      <c r="AO15" s="7">
        <f t="shared" si="4"/>
        <v>1445091.61</v>
      </c>
      <c r="AP15" s="7">
        <f t="shared" si="4"/>
        <v>1503741.36</v>
      </c>
      <c r="AQ15" s="7">
        <f t="shared" si="4"/>
        <v>1557715.94</v>
      </c>
      <c r="AR15" s="7">
        <f t="shared" si="4"/>
        <v>1689451.1</v>
      </c>
      <c r="AS15" s="7">
        <f t="shared" si="4"/>
        <v>1666152.05</v>
      </c>
      <c r="AT15" s="7">
        <f t="shared" si="4"/>
        <v>1580766.18</v>
      </c>
      <c r="AU15" s="7">
        <f t="shared" si="4"/>
        <v>1458958.9200000002</v>
      </c>
      <c r="AV15" s="7">
        <f t="shared" si="4"/>
        <v>1308867.6099999999</v>
      </c>
      <c r="AW15" s="7">
        <f t="shared" si="4"/>
        <v>1227944.94</v>
      </c>
      <c r="AX15" s="7">
        <f t="shared" si="4"/>
        <v>1317091.68</v>
      </c>
      <c r="AY15" s="7">
        <f t="shared" si="4"/>
        <v>1409509.51</v>
      </c>
      <c r="AZ15" s="7">
        <f t="shared" si="4"/>
        <v>1578290.87</v>
      </c>
      <c r="BA15" s="7">
        <f t="shared" si="4"/>
        <v>1517132.1199999999</v>
      </c>
      <c r="BB15" s="7">
        <f t="shared" si="4"/>
        <v>1548937.67</v>
      </c>
      <c r="BC15" s="7">
        <f t="shared" si="4"/>
        <v>1450670.35</v>
      </c>
      <c r="BD15" s="7">
        <f t="shared" si="4"/>
        <v>1616111.4100000001</v>
      </c>
      <c r="BE15" s="7">
        <f t="shared" si="4"/>
        <v>1568736.62</v>
      </c>
      <c r="BF15" s="7">
        <f t="shared" si="4"/>
        <v>1445033.0499999998</v>
      </c>
      <c r="BG15" s="7">
        <f t="shared" si="4"/>
        <v>1565907.86</v>
      </c>
      <c r="BH15" s="7">
        <f t="shared" si="4"/>
        <v>1501115.61</v>
      </c>
      <c r="BI15" s="7">
        <f t="shared" si="4"/>
        <v>1375490.4500000002</v>
      </c>
      <c r="BJ15" s="7">
        <f t="shared" si="4"/>
        <v>1374376.2000000002</v>
      </c>
      <c r="BK15" s="7">
        <f t="shared" si="4"/>
        <v>1424626.98</v>
      </c>
      <c r="BL15" s="7">
        <f t="shared" si="4"/>
        <v>1519920.58</v>
      </c>
      <c r="BM15" s="7">
        <f t="shared" si="4"/>
        <v>1400910.5799999998</v>
      </c>
      <c r="BN15" s="7">
        <f t="shared" si="4"/>
        <v>1510398.17</v>
      </c>
      <c r="BO15" s="7">
        <f t="shared" ref="BO15:BY15" si="5">SUM(BO10:BO14)</f>
        <v>1606982.99</v>
      </c>
      <c r="BP15" s="7">
        <f t="shared" si="5"/>
        <v>1798116</v>
      </c>
      <c r="BQ15" s="7">
        <f t="shared" si="5"/>
        <v>1593479.68</v>
      </c>
      <c r="BR15" s="7">
        <f t="shared" si="5"/>
        <v>1590281.07</v>
      </c>
      <c r="BS15" s="7">
        <f t="shared" si="5"/>
        <v>1567573.9100000001</v>
      </c>
      <c r="BT15" s="7">
        <f t="shared" si="5"/>
        <v>1477738.04</v>
      </c>
      <c r="BU15" s="7">
        <f t="shared" si="5"/>
        <v>1338651.19</v>
      </c>
      <c r="BV15" s="7">
        <f t="shared" si="5"/>
        <v>1433650.11</v>
      </c>
      <c r="BW15" s="7">
        <f t="shared" si="5"/>
        <v>1432056.6199999999</v>
      </c>
      <c r="BX15" s="7">
        <f t="shared" si="5"/>
        <v>1490064.23</v>
      </c>
      <c r="BY15" s="7">
        <f t="shared" si="5"/>
        <v>1559964.09</v>
      </c>
      <c r="BZ15" s="7">
        <f>SUM(BZ10:BZ14)</f>
        <v>1563480.1099999999</v>
      </c>
      <c r="CA15" s="7">
        <f t="shared" ref="CA15:CS15" si="6">SUM(CA10:CA14)</f>
        <v>0</v>
      </c>
      <c r="CB15" s="7">
        <f t="shared" si="6"/>
        <v>0</v>
      </c>
      <c r="CC15" s="7">
        <f t="shared" si="6"/>
        <v>0</v>
      </c>
      <c r="CD15" s="7">
        <f t="shared" si="6"/>
        <v>0</v>
      </c>
      <c r="CE15" s="7">
        <f t="shared" si="6"/>
        <v>0</v>
      </c>
      <c r="CF15" s="7">
        <f t="shared" si="6"/>
        <v>0</v>
      </c>
      <c r="CG15" s="7">
        <f t="shared" si="6"/>
        <v>0</v>
      </c>
      <c r="CH15" s="7">
        <f t="shared" si="6"/>
        <v>1530457.259685193</v>
      </c>
      <c r="CI15" s="7">
        <f t="shared" si="6"/>
        <v>1572887.4558295566</v>
      </c>
      <c r="CJ15" s="7">
        <f t="shared" si="6"/>
        <v>1660335.2624846499</v>
      </c>
      <c r="CK15" s="7">
        <f t="shared" si="6"/>
        <v>1710018.026887953</v>
      </c>
      <c r="CL15" s="7">
        <f t="shared" si="6"/>
        <v>1736749.7730200044</v>
      </c>
      <c r="CM15" s="7">
        <f t="shared" si="6"/>
        <v>1736749.7730200044</v>
      </c>
      <c r="CN15" s="7">
        <f t="shared" si="6"/>
        <v>1751121.5839846574</v>
      </c>
      <c r="CO15" s="7">
        <f t="shared" si="6"/>
        <v>1723355.5113441881</v>
      </c>
      <c r="CP15" s="7">
        <f t="shared" si="6"/>
        <v>1677811.6510698786</v>
      </c>
      <c r="CQ15" s="7">
        <f t="shared" si="6"/>
        <v>1642793.4618031415</v>
      </c>
      <c r="CR15" s="7">
        <f t="shared" si="6"/>
        <v>1595010.3736559448</v>
      </c>
      <c r="CS15" s="7">
        <f t="shared" si="6"/>
        <v>1586733.01703063</v>
      </c>
    </row>
    <row r="16" spans="1:97" x14ac:dyDescent="0.3">
      <c r="A16" s="3" t="s">
        <v>8</v>
      </c>
      <c r="B16" s="12">
        <f>B17-B15</f>
        <v>-35814.760000000009</v>
      </c>
      <c r="C16" s="12">
        <f t="shared" ref="C16:BN16" si="7">C17-C15</f>
        <v>139761.29999999981</v>
      </c>
      <c r="D16" s="12">
        <f t="shared" si="7"/>
        <v>20230.560000000056</v>
      </c>
      <c r="E16" s="12">
        <f t="shared" si="7"/>
        <v>758.96999999997206</v>
      </c>
      <c r="F16" s="12">
        <f t="shared" si="7"/>
        <v>-19617.050000000047</v>
      </c>
      <c r="G16" s="12">
        <f t="shared" si="7"/>
        <v>45689.689999999944</v>
      </c>
      <c r="H16" s="12">
        <f t="shared" si="7"/>
        <v>-28453.810000000056</v>
      </c>
      <c r="I16" s="12">
        <f t="shared" si="7"/>
        <v>-64434.769999999786</v>
      </c>
      <c r="J16" s="12">
        <f t="shared" si="7"/>
        <v>10780.910000000149</v>
      </c>
      <c r="K16" s="12">
        <f t="shared" si="7"/>
        <v>-30244.110000000102</v>
      </c>
      <c r="L16" s="12">
        <f t="shared" si="7"/>
        <v>491.78999999980442</v>
      </c>
      <c r="M16" s="12">
        <f t="shared" si="7"/>
        <v>59596.529999999795</v>
      </c>
      <c r="N16" s="12">
        <f t="shared" si="7"/>
        <v>37557.130000000121</v>
      </c>
      <c r="O16" s="12">
        <f t="shared" si="7"/>
        <v>72239.59999999986</v>
      </c>
      <c r="P16" s="12">
        <f t="shared" si="7"/>
        <v>-68118.89000000013</v>
      </c>
      <c r="Q16" s="12">
        <f t="shared" si="7"/>
        <v>32503.420000000158</v>
      </c>
      <c r="R16" s="12">
        <f t="shared" si="7"/>
        <v>126766.82000000007</v>
      </c>
      <c r="S16" s="12">
        <f t="shared" si="7"/>
        <v>44570.479999999749</v>
      </c>
      <c r="T16" s="12">
        <f t="shared" si="7"/>
        <v>-67423.229999999981</v>
      </c>
      <c r="U16" s="12">
        <f t="shared" si="7"/>
        <v>-18634.810000000056</v>
      </c>
      <c r="V16" s="12">
        <f t="shared" si="7"/>
        <v>90892.34999999986</v>
      </c>
      <c r="W16" s="12">
        <f t="shared" si="7"/>
        <v>58032.729999999749</v>
      </c>
      <c r="X16" s="12">
        <f t="shared" si="7"/>
        <v>-71622.089999999851</v>
      </c>
      <c r="Y16" s="12">
        <f t="shared" si="7"/>
        <v>-21143.85999999987</v>
      </c>
      <c r="Z16" s="12">
        <f t="shared" si="7"/>
        <v>58342.079999999842</v>
      </c>
      <c r="AA16" s="12">
        <f t="shared" si="7"/>
        <v>-249.33000000007451</v>
      </c>
      <c r="AB16" s="12">
        <f t="shared" si="7"/>
        <v>24054.550000000279</v>
      </c>
      <c r="AC16" s="12">
        <f t="shared" si="7"/>
        <v>-28759.029999999795</v>
      </c>
      <c r="AD16" s="12">
        <f t="shared" si="7"/>
        <v>-17674.810000000289</v>
      </c>
      <c r="AE16" s="12">
        <f t="shared" si="7"/>
        <v>54630.110000000102</v>
      </c>
      <c r="AF16" s="12">
        <f t="shared" si="7"/>
        <v>27190.530000000261</v>
      </c>
      <c r="AG16" s="12">
        <f t="shared" si="7"/>
        <v>-27620.970000000438</v>
      </c>
      <c r="AH16" s="12">
        <f t="shared" si="7"/>
        <v>-1644.75</v>
      </c>
      <c r="AI16" s="12">
        <f t="shared" si="7"/>
        <v>30857.60999999987</v>
      </c>
      <c r="AJ16" s="12">
        <f t="shared" si="7"/>
        <v>42477.209999999963</v>
      </c>
      <c r="AK16" s="12">
        <f t="shared" si="7"/>
        <v>-176536.67999999993</v>
      </c>
      <c r="AL16" s="12">
        <f t="shared" si="7"/>
        <v>-2069.5700000000652</v>
      </c>
      <c r="AM16" s="12">
        <f t="shared" si="7"/>
        <v>15401.120000000112</v>
      </c>
      <c r="AN16" s="12">
        <f t="shared" si="7"/>
        <v>19032.510000000009</v>
      </c>
      <c r="AO16" s="12">
        <f t="shared" si="7"/>
        <v>1659.2800000000279</v>
      </c>
      <c r="AP16" s="12">
        <f t="shared" si="7"/>
        <v>-31419.180000000168</v>
      </c>
      <c r="AQ16" s="12">
        <f t="shared" si="7"/>
        <v>-10012.330000000075</v>
      </c>
      <c r="AR16" s="12">
        <f t="shared" si="7"/>
        <v>-84533.820000000065</v>
      </c>
      <c r="AS16" s="12">
        <f t="shared" si="7"/>
        <v>-30947.719999999972</v>
      </c>
      <c r="AT16" s="12">
        <f t="shared" si="7"/>
        <v>10051.810000000056</v>
      </c>
      <c r="AU16" s="12">
        <f t="shared" si="7"/>
        <v>2177.7999999995809</v>
      </c>
      <c r="AV16" s="12">
        <f t="shared" si="7"/>
        <v>19864.850000000093</v>
      </c>
      <c r="AW16" s="12">
        <f t="shared" si="7"/>
        <v>56385.189999999944</v>
      </c>
      <c r="AX16" s="12">
        <f t="shared" si="7"/>
        <v>-38766.670000000158</v>
      </c>
      <c r="AY16" s="12">
        <f t="shared" si="7"/>
        <v>59031.139999999898</v>
      </c>
      <c r="AZ16" s="12">
        <f t="shared" si="7"/>
        <v>-44201.15000000014</v>
      </c>
      <c r="BA16" s="12">
        <f t="shared" si="7"/>
        <v>-64892.280000000028</v>
      </c>
      <c r="BB16" s="12">
        <f t="shared" si="7"/>
        <v>-46224.770000000019</v>
      </c>
      <c r="BC16" s="12">
        <f t="shared" si="7"/>
        <v>18157.8199999996</v>
      </c>
      <c r="BD16" s="12">
        <f t="shared" si="7"/>
        <v>-77425.490000000224</v>
      </c>
      <c r="BE16" s="12">
        <f t="shared" si="7"/>
        <v>-171969.17000000039</v>
      </c>
      <c r="BF16" s="12">
        <f t="shared" si="7"/>
        <v>34101.069999999832</v>
      </c>
      <c r="BG16" s="12">
        <f t="shared" si="7"/>
        <v>-31363.430000000168</v>
      </c>
      <c r="BH16" s="12">
        <f t="shared" si="7"/>
        <v>-12117.110000000335</v>
      </c>
      <c r="BI16" s="12">
        <f t="shared" si="7"/>
        <v>-41288.04000000027</v>
      </c>
      <c r="BJ16" s="12">
        <f t="shared" si="7"/>
        <v>-32135.756027586292</v>
      </c>
      <c r="BK16" s="12">
        <f t="shared" si="7"/>
        <v>44264.642848592252</v>
      </c>
      <c r="BL16" s="12">
        <f t="shared" si="7"/>
        <v>9163.5355744389817</v>
      </c>
      <c r="BM16" s="12">
        <f t="shared" si="7"/>
        <v>35670.261295666685</v>
      </c>
      <c r="BN16" s="12">
        <f t="shared" si="7"/>
        <v>55032.389628345845</v>
      </c>
      <c r="BO16" s="12">
        <f t="shared" ref="BO16:BZ16" si="8">BO17-BO15</f>
        <v>-52451.146317747654</v>
      </c>
      <c r="BP16" s="12">
        <f t="shared" si="8"/>
        <v>-212755.92247061152</v>
      </c>
      <c r="BQ16" s="12">
        <f t="shared" si="8"/>
        <v>-35767.589108889457</v>
      </c>
      <c r="BR16" s="12">
        <f t="shared" si="8"/>
        <v>-119180.60054742172</v>
      </c>
      <c r="BS16" s="12">
        <f t="shared" si="8"/>
        <v>-50648.022214741912</v>
      </c>
      <c r="BT16" s="12">
        <f t="shared" si="8"/>
        <v>28508.184957292164</v>
      </c>
      <c r="BU16" s="12">
        <f t="shared" si="8"/>
        <v>31134.972382663749</v>
      </c>
      <c r="BV16" s="12">
        <f t="shared" si="8"/>
        <v>-76410.669999999925</v>
      </c>
      <c r="BW16" s="12">
        <f t="shared" si="8"/>
        <v>-31442.329999999609</v>
      </c>
      <c r="BX16" s="12">
        <f t="shared" si="8"/>
        <v>-67689.929999999935</v>
      </c>
      <c r="BY16" s="12">
        <f t="shared" si="8"/>
        <v>-112019.43268621503</v>
      </c>
      <c r="BZ16" s="12">
        <f t="shared" si="8"/>
        <v>-111653.44218004332</v>
      </c>
      <c r="CA16" s="12">
        <f t="shared" ref="CA16" si="9">CA17-CA15</f>
        <v>0</v>
      </c>
      <c r="CB16" s="12">
        <f t="shared" ref="CB16" si="10">CB17-CB15</f>
        <v>0</v>
      </c>
      <c r="CC16" s="12">
        <f t="shared" ref="CC16" si="11">CC17-CC15</f>
        <v>0</v>
      </c>
      <c r="CD16" s="12">
        <f t="shared" ref="CD16" si="12">CD17-CD15</f>
        <v>0</v>
      </c>
      <c r="CE16" s="12">
        <f t="shared" ref="CE16" si="13">CE17-CE15</f>
        <v>0</v>
      </c>
      <c r="CF16" s="12">
        <f t="shared" ref="CF16" si="14">CF17-CF15</f>
        <v>0</v>
      </c>
      <c r="CG16" s="12">
        <f t="shared" ref="CG16" si="15">CG17-CG15</f>
        <v>0</v>
      </c>
      <c r="CH16" s="12">
        <f t="shared" ref="CH16" si="16">CH17-CH15</f>
        <v>-56309.653658536263</v>
      </c>
      <c r="CI16" s="12">
        <f t="shared" ref="CI16" si="17">CI17-CI15</f>
        <v>-59201.52540650405</v>
      </c>
      <c r="CJ16" s="12">
        <f t="shared" ref="CJ16" si="18">CJ17-CJ15</f>
        <v>-67113.25</v>
      </c>
      <c r="CK16" s="12">
        <f t="shared" ref="CK16" si="19">CK17-CK15</f>
        <v>-71860.284756097244</v>
      </c>
      <c r="CL16" s="12">
        <f t="shared" ref="CL16" si="20">CL17-CL15</f>
        <v>-73879.138617885998</v>
      </c>
      <c r="CM16" s="12">
        <f t="shared" ref="CM16" si="21">CM17-CM15</f>
        <v>-73879.138617885998</v>
      </c>
      <c r="CN16" s="12">
        <f t="shared" ref="CN16" si="22">CN17-CN15</f>
        <v>-74097.393089430872</v>
      </c>
      <c r="CO16" s="12">
        <f t="shared" ref="CO16" si="23">CO17-CO15</f>
        <v>-73278.938821137883</v>
      </c>
      <c r="CP16" s="12">
        <f t="shared" ref="CP16" si="24">CP17-CP15</f>
        <v>-68859.285772357602</v>
      </c>
      <c r="CQ16" s="12">
        <f t="shared" ref="CQ16" si="25">CQ17-CQ15</f>
        <v>-66021.977642276324</v>
      </c>
      <c r="CR16" s="12">
        <f t="shared" ref="CR16" si="26">CR17-CR15</f>
        <v>-60838.433943089098</v>
      </c>
      <c r="CS16" s="12">
        <f t="shared" ref="CS16" si="27">CS17-CS15</f>
        <v>-60019.979674796574</v>
      </c>
    </row>
    <row r="17" spans="1:97" x14ac:dyDescent="0.3">
      <c r="A17" s="3" t="s">
        <v>25</v>
      </c>
      <c r="B17" s="15">
        <v>1086172.06</v>
      </c>
      <c r="C17" s="15">
        <v>1325884.8699999999</v>
      </c>
      <c r="D17" s="15">
        <v>1282641.1200000001</v>
      </c>
      <c r="E17" s="15">
        <v>1335361.26</v>
      </c>
      <c r="F17" s="15">
        <v>1483648.66</v>
      </c>
      <c r="G17" s="15">
        <v>1455657.04</v>
      </c>
      <c r="H17" s="15">
        <v>1489626.2999999998</v>
      </c>
      <c r="I17" s="15">
        <v>1354978.5000000002</v>
      </c>
      <c r="J17" s="15">
        <v>1502671.6800000002</v>
      </c>
      <c r="K17" s="15">
        <v>1307158.98</v>
      </c>
      <c r="L17" s="15">
        <v>1377309.7499999998</v>
      </c>
      <c r="M17" s="15">
        <v>1456878.94</v>
      </c>
      <c r="N17" s="15">
        <v>1386068.43</v>
      </c>
      <c r="O17" s="15">
        <v>1345349.28</v>
      </c>
      <c r="P17" s="15">
        <v>1358077.15</v>
      </c>
      <c r="Q17" s="15">
        <v>1387788.0300000003</v>
      </c>
      <c r="R17" s="15">
        <v>1462057.5</v>
      </c>
      <c r="S17" s="15">
        <v>1262608.46</v>
      </c>
      <c r="T17" s="15">
        <v>1202361.1400000001</v>
      </c>
      <c r="U17" s="15">
        <v>1307511.69</v>
      </c>
      <c r="V17" s="15">
        <v>1347514.32</v>
      </c>
      <c r="W17" s="15">
        <v>1309309.3999999999</v>
      </c>
      <c r="X17" s="15">
        <v>1258336.4000000001</v>
      </c>
      <c r="Y17" s="15">
        <v>1242551.9300000002</v>
      </c>
      <c r="Z17" s="15">
        <v>1156485.21</v>
      </c>
      <c r="AA17" s="15">
        <v>1278088.54</v>
      </c>
      <c r="AB17" s="15">
        <v>1338383.7800000003</v>
      </c>
      <c r="AC17" s="15">
        <v>1351665.03</v>
      </c>
      <c r="AD17" s="15">
        <v>1372085.3599999999</v>
      </c>
      <c r="AE17" s="15">
        <v>1417761.9600000002</v>
      </c>
      <c r="AF17" s="15">
        <v>1451261.1</v>
      </c>
      <c r="AG17" s="15">
        <v>1512529.4399999997</v>
      </c>
      <c r="AH17" s="15">
        <v>1496449.8</v>
      </c>
      <c r="AI17" s="15">
        <v>1559428.9</v>
      </c>
      <c r="AJ17" s="15">
        <v>1473519.55</v>
      </c>
      <c r="AK17" s="15">
        <v>1386059.54</v>
      </c>
      <c r="AL17" s="15">
        <v>1363457.01</v>
      </c>
      <c r="AM17" s="15">
        <v>1321576.3</v>
      </c>
      <c r="AN17" s="15">
        <v>1471831.5899999999</v>
      </c>
      <c r="AO17" s="15">
        <v>1446750.8900000001</v>
      </c>
      <c r="AP17" s="15">
        <v>1472322.18</v>
      </c>
      <c r="AQ17" s="15">
        <v>1547703.6099999999</v>
      </c>
      <c r="AR17" s="15">
        <v>1604917.28</v>
      </c>
      <c r="AS17" s="15">
        <v>1635204.33</v>
      </c>
      <c r="AT17" s="15">
        <v>1590817.99</v>
      </c>
      <c r="AU17" s="15">
        <v>1461136.7199999997</v>
      </c>
      <c r="AV17" s="15">
        <v>1328732.46</v>
      </c>
      <c r="AW17" s="15">
        <v>1284330.1299999999</v>
      </c>
      <c r="AX17" s="15">
        <v>1278325.0099999998</v>
      </c>
      <c r="AY17" s="15">
        <v>1468540.65</v>
      </c>
      <c r="AZ17" s="15">
        <v>1534089.72</v>
      </c>
      <c r="BA17" s="15">
        <v>1452239.8399999999</v>
      </c>
      <c r="BB17" s="15">
        <v>1502712.9</v>
      </c>
      <c r="BC17" s="15">
        <v>1468828.1699999997</v>
      </c>
      <c r="BD17" s="15">
        <v>1538685.92</v>
      </c>
      <c r="BE17" s="15">
        <v>1396767.4499999997</v>
      </c>
      <c r="BF17" s="15">
        <v>1479134.1199999996</v>
      </c>
      <c r="BG17" s="15">
        <v>1534544.43</v>
      </c>
      <c r="BH17" s="15">
        <v>1488998.4999999998</v>
      </c>
      <c r="BI17" s="15">
        <v>1334202.4099999999</v>
      </c>
      <c r="BJ17" s="15">
        <v>1342240.4439724139</v>
      </c>
      <c r="BK17" s="15">
        <v>1468891.6228485922</v>
      </c>
      <c r="BL17" s="15">
        <v>1529084.1155744391</v>
      </c>
      <c r="BM17" s="15">
        <v>1436580.8412956665</v>
      </c>
      <c r="BN17" s="15">
        <v>1565430.5596283458</v>
      </c>
      <c r="BO17" s="15">
        <v>1554531.8436822523</v>
      </c>
      <c r="BP17" s="15">
        <v>1585360.0775293885</v>
      </c>
      <c r="BQ17" s="15">
        <v>1557712.0908911105</v>
      </c>
      <c r="BR17" s="15">
        <v>1471100.4694525783</v>
      </c>
      <c r="BS17" s="15">
        <v>1516925.8877852582</v>
      </c>
      <c r="BT17" s="15">
        <v>1506246.2249572922</v>
      </c>
      <c r="BU17" s="15">
        <v>1369786.1623826637</v>
      </c>
      <c r="BV17" s="15">
        <v>1357239.4400000002</v>
      </c>
      <c r="BW17" s="15">
        <v>1400614.2900000003</v>
      </c>
      <c r="BX17" s="15">
        <v>1422374.3</v>
      </c>
      <c r="BY17" s="15">
        <v>1447944.6573137851</v>
      </c>
      <c r="BZ17" s="15">
        <v>1451826.6678199566</v>
      </c>
      <c r="CA17" s="15"/>
      <c r="CB17" s="15"/>
      <c r="CC17" s="15"/>
      <c r="CD17" s="15"/>
      <c r="CE17" s="15"/>
      <c r="CF17" s="15"/>
      <c r="CG17" s="15"/>
      <c r="CH17" s="26">
        <v>1474147.6060266567</v>
      </c>
      <c r="CI17" s="26">
        <v>1513685.9304230525</v>
      </c>
      <c r="CJ17" s="26">
        <v>1593222.0124846499</v>
      </c>
      <c r="CK17" s="26">
        <v>1638157.7421318558</v>
      </c>
      <c r="CL17" s="26">
        <v>1662870.6344021184</v>
      </c>
      <c r="CM17" s="26">
        <v>1662870.6344021184</v>
      </c>
      <c r="CN17" s="26">
        <v>1677024.1908952266</v>
      </c>
      <c r="CO17" s="26">
        <v>1650076.5725230502</v>
      </c>
      <c r="CP17" s="26">
        <v>1608952.365297521</v>
      </c>
      <c r="CQ17" s="26">
        <v>1576771.4841608652</v>
      </c>
      <c r="CR17" s="26">
        <v>1534171.9397128557</v>
      </c>
      <c r="CS17" s="26">
        <v>1526713.0373558335</v>
      </c>
    </row>
    <row r="18" spans="1:97" ht="27.6" x14ac:dyDescent="0.3">
      <c r="A18" s="4" t="s">
        <v>26</v>
      </c>
    </row>
    <row r="19" spans="1:97" x14ac:dyDescent="0.3">
      <c r="A19" s="3" t="s">
        <v>9</v>
      </c>
      <c r="B19" s="25">
        <f>B17/B5</f>
        <v>0.21281348176385087</v>
      </c>
      <c r="C19" s="25">
        <f t="shared" ref="C19:BN19" si="28">C17/C5</f>
        <v>0.24236930853190355</v>
      </c>
      <c r="D19" s="25">
        <f t="shared" si="28"/>
        <v>0.20765357192487305</v>
      </c>
      <c r="E19" s="25">
        <f t="shared" si="28"/>
        <v>0.21219501000488611</v>
      </c>
      <c r="F19" s="25">
        <f t="shared" si="28"/>
        <v>0.20247453929327641</v>
      </c>
      <c r="G19" s="25">
        <f t="shared" si="28"/>
        <v>0.22989802710021334</v>
      </c>
      <c r="H19" s="25">
        <f t="shared" si="28"/>
        <v>0.22137655078959101</v>
      </c>
      <c r="I19" s="25">
        <f t="shared" si="28"/>
        <v>0.21717610947826821</v>
      </c>
      <c r="J19" s="25">
        <f t="shared" si="28"/>
        <v>0.21620004754073555</v>
      </c>
      <c r="K19" s="25">
        <f t="shared" si="28"/>
        <v>0.24828473682653993</v>
      </c>
      <c r="L19" s="25">
        <f t="shared" si="28"/>
        <v>0.25759480012078306</v>
      </c>
      <c r="M19" s="25">
        <f t="shared" si="28"/>
        <v>0.40218842473497168</v>
      </c>
      <c r="N19" s="25">
        <f t="shared" si="28"/>
        <v>0.26348752422789323</v>
      </c>
      <c r="O19" s="25">
        <f t="shared" si="28"/>
        <v>0.28024554851679107</v>
      </c>
      <c r="P19" s="25">
        <f t="shared" si="28"/>
        <v>0.25599303423336089</v>
      </c>
      <c r="Q19" s="25">
        <f t="shared" si="28"/>
        <v>0.2775772673530012</v>
      </c>
      <c r="R19" s="25">
        <f t="shared" si="28"/>
        <v>0.31007325788565027</v>
      </c>
      <c r="S19" s="25">
        <f t="shared" si="28"/>
        <v>0.32624656605568358</v>
      </c>
      <c r="T19" s="25">
        <f t="shared" si="28"/>
        <v>0.32417117718813726</v>
      </c>
      <c r="U19" s="25">
        <f t="shared" si="28"/>
        <v>0.3239198427666759</v>
      </c>
      <c r="V19" s="25">
        <f t="shared" si="28"/>
        <v>0.34456762991997936</v>
      </c>
      <c r="W19" s="25">
        <f t="shared" si="28"/>
        <v>0.35105271784601927</v>
      </c>
      <c r="X19" s="25">
        <f t="shared" si="28"/>
        <v>0.30378660950065217</v>
      </c>
      <c r="Y19" s="25">
        <f t="shared" si="28"/>
        <v>0.40422878773164</v>
      </c>
      <c r="Z19" s="25">
        <f t="shared" si="28"/>
        <v>0.31892391120535135</v>
      </c>
      <c r="AA19" s="25">
        <f t="shared" si="28"/>
        <v>0.284832599821712</v>
      </c>
      <c r="AB19" s="25">
        <f t="shared" si="28"/>
        <v>0.23970478357593564</v>
      </c>
      <c r="AC19" s="25">
        <f t="shared" si="28"/>
        <v>0.23757408671180039</v>
      </c>
      <c r="AD19" s="25">
        <f t="shared" si="28"/>
        <v>0.23848972241987412</v>
      </c>
      <c r="AE19" s="25">
        <f t="shared" si="28"/>
        <v>0.22579641622136692</v>
      </c>
      <c r="AF19" s="25">
        <f t="shared" si="28"/>
        <v>0.2112061067476704</v>
      </c>
      <c r="AG19" s="25">
        <f t="shared" si="28"/>
        <v>0.22336347884158081</v>
      </c>
      <c r="AH19" s="25">
        <f t="shared" si="28"/>
        <v>0.23445189465419847</v>
      </c>
      <c r="AI19" s="25">
        <f t="shared" si="28"/>
        <v>0.24528341274717702</v>
      </c>
      <c r="AJ19" s="25">
        <f t="shared" si="28"/>
        <v>0.27245387997596759</v>
      </c>
      <c r="AK19" s="25">
        <f t="shared" si="28"/>
        <v>0.26850857574417292</v>
      </c>
      <c r="AL19" s="25">
        <f t="shared" si="28"/>
        <v>0.24000771069544485</v>
      </c>
      <c r="AM19" s="25">
        <f t="shared" si="28"/>
        <v>0.21625125870111114</v>
      </c>
      <c r="AN19" s="25">
        <f t="shared" si="28"/>
        <v>0.20083609007062692</v>
      </c>
      <c r="AO19" s="25">
        <f t="shared" si="28"/>
        <v>0.22799334352824496</v>
      </c>
      <c r="AP19" s="25">
        <f t="shared" si="28"/>
        <v>0.22148218131765846</v>
      </c>
      <c r="AQ19" s="25">
        <f t="shared" si="28"/>
        <v>0.21958528782570685</v>
      </c>
      <c r="AR19" s="25">
        <f t="shared" si="28"/>
        <v>0.19198365169087211</v>
      </c>
      <c r="AS19" s="25">
        <f t="shared" si="28"/>
        <v>0.2010826095726114</v>
      </c>
      <c r="AT19" s="25">
        <f t="shared" si="28"/>
        <v>0.21173772000231023</v>
      </c>
      <c r="AU19" s="25">
        <f t="shared" si="28"/>
        <v>0.18985167854018242</v>
      </c>
      <c r="AV19" s="25">
        <f t="shared" si="28"/>
        <v>0.24360210790701084</v>
      </c>
      <c r="AW19" s="25">
        <f t="shared" si="28"/>
        <v>0.28136462572327364</v>
      </c>
      <c r="AX19" s="25">
        <f t="shared" si="28"/>
        <v>0.24682755752380062</v>
      </c>
      <c r="AY19" s="25">
        <f t="shared" si="28"/>
        <v>0.26224283763517814</v>
      </c>
      <c r="AZ19" s="25">
        <f t="shared" si="28"/>
        <v>0.26412926905342854</v>
      </c>
      <c r="BA19" s="25">
        <f t="shared" si="28"/>
        <v>0.27476944643490109</v>
      </c>
      <c r="BB19" s="25">
        <f t="shared" si="28"/>
        <v>0.2449275710551081</v>
      </c>
      <c r="BC19" s="25">
        <f t="shared" si="28"/>
        <v>0.25893999407259499</v>
      </c>
      <c r="BD19" s="25">
        <f t="shared" si="28"/>
        <v>0.23986215552144449</v>
      </c>
      <c r="BE19" s="25">
        <f t="shared" si="28"/>
        <v>0.23457696703303124</v>
      </c>
      <c r="BF19" s="25">
        <f t="shared" si="28"/>
        <v>0.279471626289163</v>
      </c>
      <c r="BG19" s="25">
        <f t="shared" si="28"/>
        <v>0.28021671451921681</v>
      </c>
      <c r="BH19" s="25">
        <f t="shared" si="28"/>
        <v>0.29480434925353993</v>
      </c>
      <c r="BI19" s="25">
        <f t="shared" si="28"/>
        <v>0.39469442605355742</v>
      </c>
      <c r="BJ19" s="25">
        <f t="shared" si="28"/>
        <v>0.2609631634871406</v>
      </c>
      <c r="BK19" s="25">
        <f t="shared" si="28"/>
        <v>0.26330975333723133</v>
      </c>
      <c r="BL19" s="25">
        <f t="shared" si="28"/>
        <v>0.2391709790452724</v>
      </c>
      <c r="BM19" s="25">
        <f t="shared" si="28"/>
        <v>0.25749120360552924</v>
      </c>
      <c r="BN19" s="25">
        <f t="shared" si="28"/>
        <v>0.2545075009090384</v>
      </c>
      <c r="BO19" s="25">
        <f t="shared" ref="BO19:BY19" si="29">BO17/BO5</f>
        <v>0.28220903571236489</v>
      </c>
      <c r="BP19" s="25">
        <f t="shared" si="29"/>
        <v>0.22768962628226166</v>
      </c>
      <c r="BQ19" s="25">
        <f t="shared" si="29"/>
        <v>0.2505552655615384</v>
      </c>
      <c r="BR19" s="25">
        <f t="shared" si="29"/>
        <v>0.2702687581914624</v>
      </c>
      <c r="BS19" s="25">
        <f t="shared" si="29"/>
        <v>0.24485481129500222</v>
      </c>
      <c r="BT19" s="25">
        <f t="shared" si="29"/>
        <v>0.26293092809700208</v>
      </c>
      <c r="BU19" s="25">
        <f t="shared" si="29"/>
        <v>0.31109887816570786</v>
      </c>
      <c r="BV19" s="25">
        <f t="shared" si="29"/>
        <v>0.28603804810880229</v>
      </c>
      <c r="BW19" s="25">
        <f t="shared" si="29"/>
        <v>0.29599914510672193</v>
      </c>
      <c r="BX19" s="25">
        <f t="shared" si="29"/>
        <v>0.2842264091689532</v>
      </c>
      <c r="BY19" s="25">
        <f t="shared" si="29"/>
        <v>0.28244868093111919</v>
      </c>
      <c r="BZ19" s="25">
        <f t="shared" ref="BZ19:CS19" si="30">BZ17/BZ5</f>
        <v>0.25892577528273747</v>
      </c>
      <c r="CA19" s="25" t="e">
        <f t="shared" si="30"/>
        <v>#DIV/0!</v>
      </c>
      <c r="CB19" s="25" t="e">
        <f t="shared" si="30"/>
        <v>#DIV/0!</v>
      </c>
      <c r="CC19" s="25" t="e">
        <f t="shared" si="30"/>
        <v>#DIV/0!</v>
      </c>
      <c r="CD19" s="25" t="e">
        <f t="shared" si="30"/>
        <v>#DIV/0!</v>
      </c>
      <c r="CE19" s="25" t="e">
        <f t="shared" si="30"/>
        <v>#DIV/0!</v>
      </c>
      <c r="CF19" s="25" t="e">
        <f t="shared" si="30"/>
        <v>#DIV/0!</v>
      </c>
      <c r="CG19" s="25" t="e">
        <f t="shared" si="30"/>
        <v>#DIV/0!</v>
      </c>
      <c r="CH19" s="25">
        <f t="shared" si="30"/>
        <v>0.26720115644397596</v>
      </c>
      <c r="CI19" s="25">
        <f t="shared" si="30"/>
        <v>0.26273221628200832</v>
      </c>
      <c r="CJ19" s="25">
        <f t="shared" si="30"/>
        <v>0.2481831272988276</v>
      </c>
      <c r="CK19" s="25">
        <f t="shared" si="30"/>
        <v>0.24023269590500129</v>
      </c>
      <c r="CL19" s="25">
        <f t="shared" si="30"/>
        <v>0.23737909693677406</v>
      </c>
      <c r="CM19" s="25">
        <f t="shared" si="30"/>
        <v>0.23737909693677406</v>
      </c>
      <c r="CN19" s="25">
        <f t="shared" si="30"/>
        <v>0.2383919091473154</v>
      </c>
      <c r="CO19" s="25">
        <f t="shared" si="30"/>
        <v>0.23742694590292754</v>
      </c>
      <c r="CP19" s="25">
        <f t="shared" si="30"/>
        <v>0.24427957040482676</v>
      </c>
      <c r="CQ19" s="25">
        <f t="shared" si="30"/>
        <v>0.24746047306647806</v>
      </c>
      <c r="CR19" s="25">
        <f t="shared" si="30"/>
        <v>0.25891746746380634</v>
      </c>
      <c r="CS19" s="25">
        <f t="shared" si="30"/>
        <v>0.26053510139541791</v>
      </c>
    </row>
    <row r="20" spans="1:97" x14ac:dyDescent="0.3">
      <c r="A20" s="5" t="s">
        <v>10</v>
      </c>
      <c r="B20" s="8">
        <f>B4-B5</f>
        <v>385094.16000000015</v>
      </c>
      <c r="C20" s="8">
        <f t="shared" ref="C20:BN20" si="31">C4-C5</f>
        <v>438668.73000000045</v>
      </c>
      <c r="D20" s="8">
        <f t="shared" si="31"/>
        <v>904830.29999999981</v>
      </c>
      <c r="E20" s="8">
        <f t="shared" si="31"/>
        <v>725226.72000000067</v>
      </c>
      <c r="F20" s="8">
        <f t="shared" si="31"/>
        <v>948147.57999999821</v>
      </c>
      <c r="G20" s="8">
        <f t="shared" si="31"/>
        <v>595162.06000000052</v>
      </c>
      <c r="H20" s="8">
        <f t="shared" si="31"/>
        <v>738269.91000000108</v>
      </c>
      <c r="I20" s="8">
        <f t="shared" si="31"/>
        <v>657175.28000000119</v>
      </c>
      <c r="J20" s="8">
        <f t="shared" si="31"/>
        <v>597385.92000000086</v>
      </c>
      <c r="K20" s="8">
        <f t="shared" si="31"/>
        <v>390384.47999999952</v>
      </c>
      <c r="L20" s="8">
        <f t="shared" si="31"/>
        <v>653400.16999999993</v>
      </c>
      <c r="M20" s="8">
        <f t="shared" si="31"/>
        <v>475195.19000000041</v>
      </c>
      <c r="N20" s="8">
        <f t="shared" si="31"/>
        <v>300320.00000000093</v>
      </c>
      <c r="O20" s="8">
        <f t="shared" si="31"/>
        <v>567422.21000000089</v>
      </c>
      <c r="P20" s="8">
        <f t="shared" si="31"/>
        <v>1199125.5500000007</v>
      </c>
      <c r="Q20" s="8">
        <f t="shared" si="31"/>
        <v>586894.72000000067</v>
      </c>
      <c r="R20" s="8">
        <f t="shared" si="31"/>
        <v>263269.11000000034</v>
      </c>
      <c r="S20" s="8">
        <f t="shared" si="31"/>
        <v>211431.96999999974</v>
      </c>
      <c r="T20" s="8">
        <f t="shared" si="31"/>
        <v>181304.96000000089</v>
      </c>
      <c r="U20" s="8">
        <f t="shared" si="31"/>
        <v>130365.16999999993</v>
      </c>
      <c r="V20" s="8">
        <f t="shared" si="31"/>
        <v>221816.25999999978</v>
      </c>
      <c r="W20" s="8">
        <f t="shared" si="31"/>
        <v>122033.49000000022</v>
      </c>
      <c r="X20" s="8">
        <f t="shared" si="31"/>
        <v>398885.3499999987</v>
      </c>
      <c r="Y20" s="8">
        <f t="shared" si="31"/>
        <v>165792.2600000063</v>
      </c>
      <c r="Z20" s="8">
        <f t="shared" si="31"/>
        <v>404102.97999999952</v>
      </c>
      <c r="AA20" s="8">
        <f t="shared" si="31"/>
        <v>710796.81999999937</v>
      </c>
      <c r="AB20" s="8">
        <f t="shared" si="31"/>
        <v>1161260.6600000011</v>
      </c>
      <c r="AC20" s="8">
        <f t="shared" si="31"/>
        <v>754326.23999999929</v>
      </c>
      <c r="AD20" s="8">
        <f t="shared" si="31"/>
        <v>455506.89000000153</v>
      </c>
      <c r="AE20" s="8">
        <f t="shared" si="31"/>
        <v>455131.92999999877</v>
      </c>
      <c r="AF20" s="8">
        <f t="shared" si="31"/>
        <v>285128.78000000026</v>
      </c>
      <c r="AG20" s="8">
        <f t="shared" si="31"/>
        <v>279186.13000000082</v>
      </c>
      <c r="AH20" s="8">
        <f t="shared" si="31"/>
        <v>221363.42000000179</v>
      </c>
      <c r="AI20" s="8">
        <f t="shared" si="31"/>
        <v>538506.98000000045</v>
      </c>
      <c r="AJ20" s="8">
        <f t="shared" si="31"/>
        <v>403976.46999999974</v>
      </c>
      <c r="AK20" s="8">
        <f t="shared" si="31"/>
        <v>419571.49000000022</v>
      </c>
      <c r="AL20" s="8">
        <f t="shared" si="31"/>
        <v>858908.30999999959</v>
      </c>
      <c r="AM20" s="8">
        <f t="shared" si="31"/>
        <v>879757.66000000015</v>
      </c>
      <c r="AN20" s="8">
        <f t="shared" si="31"/>
        <v>1080491.3899999987</v>
      </c>
      <c r="AO20" s="8">
        <f t="shared" si="31"/>
        <v>995948.34000000171</v>
      </c>
      <c r="AP20" s="8">
        <f t="shared" si="31"/>
        <v>682989.72000000067</v>
      </c>
      <c r="AQ20" s="8">
        <f t="shared" si="31"/>
        <v>819874.68999999948</v>
      </c>
      <c r="AR20" s="8">
        <f t="shared" si="31"/>
        <v>635808.2799999984</v>
      </c>
      <c r="AS20" s="8">
        <f t="shared" si="31"/>
        <v>802699.25999999791</v>
      </c>
      <c r="AT20" s="8">
        <f t="shared" si="31"/>
        <v>527119.78999999911</v>
      </c>
      <c r="AU20" s="8">
        <f t="shared" si="31"/>
        <v>702744.12999999989</v>
      </c>
      <c r="AV20" s="8">
        <f t="shared" si="31"/>
        <v>174018.92000000086</v>
      </c>
      <c r="AW20" s="8">
        <f t="shared" si="31"/>
        <v>53580.88000000082</v>
      </c>
      <c r="AX20" s="8">
        <f t="shared" si="31"/>
        <v>660637.87999999803</v>
      </c>
      <c r="AY20" s="8">
        <f t="shared" si="31"/>
        <v>416126.28000000119</v>
      </c>
      <c r="AZ20" s="8">
        <f t="shared" si="31"/>
        <v>545243.61999999918</v>
      </c>
      <c r="BA20" s="8">
        <f t="shared" si="31"/>
        <v>561773.0400000019</v>
      </c>
      <c r="BB20" s="8">
        <f t="shared" si="31"/>
        <v>657514.83999999985</v>
      </c>
      <c r="BC20" s="8">
        <f t="shared" si="31"/>
        <v>485381.10000000056</v>
      </c>
      <c r="BD20" s="8">
        <f t="shared" si="31"/>
        <v>678846.09999999963</v>
      </c>
      <c r="BE20" s="8">
        <f t="shared" si="31"/>
        <v>459924.61000000034</v>
      </c>
      <c r="BF20" s="8">
        <f t="shared" si="31"/>
        <v>-45441.539999999106</v>
      </c>
      <c r="BG20" s="8">
        <f t="shared" si="31"/>
        <v>223717.52000000142</v>
      </c>
      <c r="BH20" s="8">
        <f t="shared" si="31"/>
        <v>199373.06000000145</v>
      </c>
      <c r="BI20" s="8">
        <f t="shared" si="31"/>
        <v>-202971.04000000004</v>
      </c>
      <c r="BJ20" s="8">
        <f t="shared" si="31"/>
        <v>362665.46602758579</v>
      </c>
      <c r="BK20" s="8">
        <f t="shared" si="31"/>
        <v>573379.28715140838</v>
      </c>
      <c r="BL20" s="8">
        <f t="shared" si="31"/>
        <v>633077.81442556158</v>
      </c>
      <c r="BM20" s="8">
        <f t="shared" si="31"/>
        <v>129693.71870433167</v>
      </c>
      <c r="BN20" s="8">
        <f t="shared" si="31"/>
        <v>358029.42037165258</v>
      </c>
      <c r="BO20" s="8">
        <f t="shared" ref="BO20:BW20" si="32">BO4-BO5</f>
        <v>-155680.87368225213</v>
      </c>
      <c r="BP20" s="8">
        <f t="shared" si="32"/>
        <v>589052.14247061126</v>
      </c>
      <c r="BQ20" s="8">
        <f t="shared" si="32"/>
        <v>200248.37910888996</v>
      </c>
      <c r="BR20" s="8">
        <f t="shared" si="32"/>
        <v>-79308.669452578761</v>
      </c>
      <c r="BS20" s="8">
        <f t="shared" si="32"/>
        <v>126895.04221474379</v>
      </c>
      <c r="BT20" s="8">
        <f t="shared" si="32"/>
        <v>252377.03504270781</v>
      </c>
      <c r="BU20" s="8">
        <f t="shared" si="32"/>
        <v>56020.03761733789</v>
      </c>
      <c r="BV20" s="8">
        <f t="shared" si="32"/>
        <v>177638.11000000034</v>
      </c>
      <c r="BW20" s="8">
        <f t="shared" si="32"/>
        <v>194596.8200000003</v>
      </c>
      <c r="BX20" s="8">
        <f>BX4-BX5</f>
        <v>387593.69000000041</v>
      </c>
      <c r="BY20" s="8">
        <f>BY4-BY5</f>
        <v>421154.64268621616</v>
      </c>
      <c r="BZ20" s="8">
        <f t="shared" ref="BZ20:CS20" si="33">BZ4-BZ5</f>
        <v>445970.93218004331</v>
      </c>
      <c r="CA20" s="8">
        <f t="shared" si="33"/>
        <v>0</v>
      </c>
      <c r="CB20" s="8">
        <f t="shared" si="33"/>
        <v>0</v>
      </c>
      <c r="CC20" s="8">
        <f t="shared" si="33"/>
        <v>0</v>
      </c>
      <c r="CD20" s="8">
        <f t="shared" si="33"/>
        <v>0</v>
      </c>
      <c r="CE20" s="8">
        <f t="shared" si="33"/>
        <v>0</v>
      </c>
      <c r="CF20" s="8">
        <f t="shared" si="33"/>
        <v>0</v>
      </c>
      <c r="CG20" s="8">
        <f t="shared" si="33"/>
        <v>0</v>
      </c>
      <c r="CH20" s="8">
        <f t="shared" si="33"/>
        <v>266492.39397334307</v>
      </c>
      <c r="CI20" s="8">
        <f t="shared" si="33"/>
        <v>317114.06957694702</v>
      </c>
      <c r="CJ20" s="8">
        <f t="shared" si="33"/>
        <v>515417.98751534987</v>
      </c>
      <c r="CK20" s="8">
        <f t="shared" si="33"/>
        <v>650802.25786814466</v>
      </c>
      <c r="CL20" s="8">
        <f t="shared" si="33"/>
        <v>732809.36559788138</v>
      </c>
      <c r="CM20" s="8">
        <f t="shared" si="33"/>
        <v>732809.36559788138</v>
      </c>
      <c r="CN20" s="8">
        <f t="shared" si="33"/>
        <v>740735.80910477322</v>
      </c>
      <c r="CO20" s="8">
        <f t="shared" si="33"/>
        <v>745603.42747694999</v>
      </c>
      <c r="CP20" s="8">
        <f t="shared" si="33"/>
        <v>621127.63470247947</v>
      </c>
      <c r="CQ20" s="8">
        <f t="shared" si="33"/>
        <v>592588.51583913527</v>
      </c>
      <c r="CR20" s="8">
        <f t="shared" si="33"/>
        <v>407028.06028714404</v>
      </c>
      <c r="CS20" s="8">
        <f t="shared" si="33"/>
        <v>392406.96264416631</v>
      </c>
    </row>
    <row r="21" spans="1:97" x14ac:dyDescent="0.3">
      <c r="A21" s="3" t="s">
        <v>27</v>
      </c>
      <c r="B21" s="9">
        <f t="shared" ref="B21:BM21" si="34">B20/(B4)</f>
        <v>7.0157910087647504E-2</v>
      </c>
      <c r="C21" s="9">
        <f t="shared" si="34"/>
        <v>7.4235084036864754E-2</v>
      </c>
      <c r="D21" s="9">
        <f t="shared" si="34"/>
        <v>0.12777090012338879</v>
      </c>
      <c r="E21" s="9">
        <f t="shared" si="34"/>
        <v>0.10333349907119553</v>
      </c>
      <c r="F21" s="9">
        <f t="shared" si="34"/>
        <v>0.11456967559887218</v>
      </c>
      <c r="G21" s="9">
        <f t="shared" si="34"/>
        <v>8.5920245199674131E-2</v>
      </c>
      <c r="H21" s="9">
        <f t="shared" si="34"/>
        <v>9.8868434180896275E-2</v>
      </c>
      <c r="I21" s="9">
        <f t="shared" si="34"/>
        <v>9.5294551297761404E-2</v>
      </c>
      <c r="J21" s="9">
        <f t="shared" si="34"/>
        <v>7.9147422104988291E-2</v>
      </c>
      <c r="K21" s="9">
        <f t="shared" si="34"/>
        <v>6.9031771010220552E-2</v>
      </c>
      <c r="L21" s="9">
        <f t="shared" si="34"/>
        <v>0.10889626342651913</v>
      </c>
      <c r="M21" s="9">
        <f t="shared" si="34"/>
        <v>0.11596987815923143</v>
      </c>
      <c r="N21" s="9">
        <f t="shared" si="34"/>
        <v>5.4006707006480775E-2</v>
      </c>
      <c r="O21" s="9">
        <f t="shared" si="34"/>
        <v>0.10570397157886839</v>
      </c>
      <c r="P21" s="9">
        <f t="shared" si="34"/>
        <v>0.18436006198443433</v>
      </c>
      <c r="Q21" s="9">
        <f t="shared" si="34"/>
        <v>0.10505512556414709</v>
      </c>
      <c r="R21" s="9">
        <f t="shared" si="34"/>
        <v>5.2881536771939817E-2</v>
      </c>
      <c r="S21" s="9">
        <f t="shared" si="34"/>
        <v>5.1802047265552688E-2</v>
      </c>
      <c r="T21" s="9">
        <f t="shared" si="34"/>
        <v>4.6603926730699331E-2</v>
      </c>
      <c r="U21" s="9">
        <f t="shared" si="34"/>
        <v>3.128593601683205E-2</v>
      </c>
      <c r="V21" s="9">
        <f t="shared" si="34"/>
        <v>5.3675318746256057E-2</v>
      </c>
      <c r="W21" s="9">
        <f t="shared" si="34"/>
        <v>3.168302435055214E-2</v>
      </c>
      <c r="X21" s="9">
        <f t="shared" si="34"/>
        <v>8.7839750908763281E-2</v>
      </c>
      <c r="Y21" s="9">
        <f t="shared" si="34"/>
        <v>5.1175582548929711E-2</v>
      </c>
      <c r="Z21" s="9">
        <f t="shared" si="34"/>
        <v>0.1002658949549679</v>
      </c>
      <c r="AA21" s="9">
        <f t="shared" si="34"/>
        <v>0.13674550998255044</v>
      </c>
      <c r="AB21" s="9">
        <f t="shared" si="34"/>
        <v>0.17217309521693849</v>
      </c>
      <c r="AC21" s="9">
        <f t="shared" si="34"/>
        <v>0.11706282690486539</v>
      </c>
      <c r="AD21" s="9">
        <f t="shared" si="34"/>
        <v>7.336551127661127E-2</v>
      </c>
      <c r="AE21" s="9">
        <f t="shared" si="34"/>
        <v>6.7586445690462529E-2</v>
      </c>
      <c r="AF21" s="9">
        <f t="shared" si="34"/>
        <v>3.9842312359610235E-2</v>
      </c>
      <c r="AG21" s="9">
        <f t="shared" si="34"/>
        <v>3.959642133705394E-2</v>
      </c>
      <c r="AH21" s="9">
        <f t="shared" si="34"/>
        <v>3.351897890944746E-2</v>
      </c>
      <c r="AI21" s="9">
        <f t="shared" si="34"/>
        <v>7.8087851926076285E-2</v>
      </c>
      <c r="AJ21" s="9">
        <f t="shared" si="34"/>
        <v>6.9503683704198307E-2</v>
      </c>
      <c r="AK21" s="9">
        <f t="shared" si="34"/>
        <v>7.5169936538037385E-2</v>
      </c>
      <c r="AL21" s="9">
        <f t="shared" si="34"/>
        <v>0.13133562912438373</v>
      </c>
      <c r="AM21" s="9">
        <f t="shared" si="34"/>
        <v>0.12584042541958296</v>
      </c>
      <c r="AN21" s="9">
        <f t="shared" si="34"/>
        <v>0.12849206121200785</v>
      </c>
      <c r="AO21" s="9">
        <f t="shared" si="34"/>
        <v>0.13565946555047775</v>
      </c>
      <c r="AP21" s="9">
        <f t="shared" si="34"/>
        <v>9.3169978229899961E-2</v>
      </c>
      <c r="AQ21" s="9">
        <f t="shared" si="34"/>
        <v>0.10420134597013676</v>
      </c>
      <c r="AR21" s="9">
        <f t="shared" si="34"/>
        <v>7.0680985697875287E-2</v>
      </c>
      <c r="AS21" s="9">
        <f t="shared" si="34"/>
        <v>8.9840630487553405E-2</v>
      </c>
      <c r="AT21" s="9">
        <f t="shared" si="34"/>
        <v>6.5559934549886234E-2</v>
      </c>
      <c r="AU21" s="9">
        <f t="shared" si="34"/>
        <v>8.3670520608876198E-2</v>
      </c>
      <c r="AV21" s="9">
        <f t="shared" si="34"/>
        <v>3.091724804361173E-2</v>
      </c>
      <c r="AW21" s="9">
        <f t="shared" si="34"/>
        <v>1.1602043913967908E-2</v>
      </c>
      <c r="AX21" s="9">
        <f t="shared" si="34"/>
        <v>0.11312954002361579</v>
      </c>
      <c r="AY21" s="9">
        <f t="shared" si="34"/>
        <v>6.9169318525824128E-2</v>
      </c>
      <c r="AZ21" s="9">
        <f t="shared" si="34"/>
        <v>8.5819921937316954E-2</v>
      </c>
      <c r="BA21" s="9">
        <f t="shared" si="34"/>
        <v>9.6077597592339567E-2</v>
      </c>
      <c r="BB21" s="9">
        <f t="shared" si="34"/>
        <v>9.6795126657473113E-2</v>
      </c>
      <c r="BC21" s="9">
        <f t="shared" si="34"/>
        <v>7.882318860316527E-2</v>
      </c>
      <c r="BD21" s="9">
        <f t="shared" si="34"/>
        <v>9.5696746541300393E-2</v>
      </c>
      <c r="BE21" s="9">
        <f t="shared" si="34"/>
        <v>7.1702621453181306E-2</v>
      </c>
      <c r="BF21" s="9">
        <f t="shared" si="34"/>
        <v>-8.6602034351204362E-3</v>
      </c>
      <c r="BG21" s="9">
        <f t="shared" si="34"/>
        <v>3.9248723456294057E-2</v>
      </c>
      <c r="BH21" s="9">
        <f t="shared" si="34"/>
        <v>3.7974552168343924E-2</v>
      </c>
      <c r="BI21" s="9">
        <f t="shared" si="34"/>
        <v>-6.3880170038529624E-2</v>
      </c>
      <c r="BJ21" s="9">
        <f t="shared" si="34"/>
        <v>6.5866422226045232E-2</v>
      </c>
      <c r="BK21" s="9">
        <f t="shared" si="34"/>
        <v>9.3202878500701108E-2</v>
      </c>
      <c r="BL21" s="9">
        <f t="shared" si="34"/>
        <v>9.0100580083274248E-2</v>
      </c>
      <c r="BM21" s="9">
        <f t="shared" si="34"/>
        <v>2.2718054936001878E-2</v>
      </c>
      <c r="BN21" s="9">
        <f t="shared" ref="BN21:BX21" si="35">BN20/(BN4)</f>
        <v>5.5006536309274157E-2</v>
      </c>
      <c r="BO21" s="9">
        <f t="shared" si="35"/>
        <v>-2.9084223440880488E-2</v>
      </c>
      <c r="BP21" s="9">
        <f t="shared" si="35"/>
        <v>7.8000891712353915E-2</v>
      </c>
      <c r="BQ21" s="9">
        <f t="shared" si="35"/>
        <v>3.1204516524034737E-2</v>
      </c>
      <c r="BR21" s="9">
        <f t="shared" si="35"/>
        <v>-1.4785928868600216E-2</v>
      </c>
      <c r="BS21" s="9">
        <f t="shared" si="35"/>
        <v>2.0071658178729988E-2</v>
      </c>
      <c r="BT21" s="9">
        <f t="shared" si="35"/>
        <v>4.2196083716486761E-2</v>
      </c>
      <c r="BU21" s="9">
        <f t="shared" si="35"/>
        <v>1.2563145770059587E-2</v>
      </c>
      <c r="BV21" s="9">
        <f t="shared" si="35"/>
        <v>3.6086242006156767E-2</v>
      </c>
      <c r="BW21" s="9">
        <f t="shared" si="35"/>
        <v>3.9500691569760292E-2</v>
      </c>
      <c r="BX21" s="9">
        <f t="shared" si="35"/>
        <v>7.1883578146957922E-2</v>
      </c>
      <c r="BY21" s="9">
        <f>BY20/(BY4)</f>
        <v>7.591718150792709E-2</v>
      </c>
      <c r="BZ21" s="9">
        <f t="shared" ref="BZ21:CS21" si="36">BZ20/(BZ4)</f>
        <v>7.3676620065321941E-2</v>
      </c>
      <c r="CA21" s="9" t="e">
        <f t="shared" si="36"/>
        <v>#DIV/0!</v>
      </c>
      <c r="CB21" s="9" t="e">
        <f t="shared" si="36"/>
        <v>#DIV/0!</v>
      </c>
      <c r="CC21" s="9" t="e">
        <f t="shared" si="36"/>
        <v>#DIV/0!</v>
      </c>
      <c r="CD21" s="9" t="e">
        <f t="shared" si="36"/>
        <v>#DIV/0!</v>
      </c>
      <c r="CE21" s="9" t="e">
        <f t="shared" si="36"/>
        <v>#DIV/0!</v>
      </c>
      <c r="CF21" s="9" t="e">
        <f t="shared" si="36"/>
        <v>#DIV/0!</v>
      </c>
      <c r="CG21" s="9" t="e">
        <f t="shared" si="36"/>
        <v>#DIV/0!</v>
      </c>
      <c r="CH21" s="9">
        <f t="shared" si="36"/>
        <v>4.6078144187961155E-2</v>
      </c>
      <c r="CI21" s="9">
        <f t="shared" si="36"/>
        <v>5.2170305140290439E-2</v>
      </c>
      <c r="CJ21" s="9">
        <f t="shared" si="36"/>
        <v>7.4321695801468191E-2</v>
      </c>
      <c r="CK21" s="9">
        <f t="shared" si="36"/>
        <v>8.7123895676075966E-2</v>
      </c>
      <c r="CL21" s="9">
        <f t="shared" si="36"/>
        <v>9.4703466867376698E-2</v>
      </c>
      <c r="CM21" s="9">
        <f t="shared" si="36"/>
        <v>9.4703466867376698E-2</v>
      </c>
      <c r="CN21" s="9">
        <f t="shared" si="36"/>
        <v>9.526570336884671E-2</v>
      </c>
      <c r="CO21" s="9">
        <f t="shared" si="36"/>
        <v>9.6889093097950837E-2</v>
      </c>
      <c r="CP21" s="9">
        <f t="shared" si="36"/>
        <v>8.617618877926328E-2</v>
      </c>
      <c r="CQ21" s="9">
        <f t="shared" si="36"/>
        <v>8.5088236723786015E-2</v>
      </c>
      <c r="CR21" s="9">
        <f t="shared" si="36"/>
        <v>6.4277466898146035E-2</v>
      </c>
      <c r="CS21" s="9">
        <f t="shared" si="36"/>
        <v>6.2761816836656839E-2</v>
      </c>
    </row>
    <row r="22" spans="1:97" x14ac:dyDescent="0.3">
      <c r="A22" s="3" t="s">
        <v>28</v>
      </c>
      <c r="B22" s="8">
        <f>B20+B11</f>
        <v>768038.05000000016</v>
      </c>
      <c r="C22" s="8">
        <f t="shared" ref="C22:BN22" si="37">C20+C11</f>
        <v>801898.02000000048</v>
      </c>
      <c r="D22" s="8">
        <f t="shared" si="37"/>
        <v>1293059.9999999998</v>
      </c>
      <c r="E22" s="8">
        <f t="shared" si="37"/>
        <v>1109168.9600000007</v>
      </c>
      <c r="F22" s="8">
        <f t="shared" si="37"/>
        <v>1345133.1599999983</v>
      </c>
      <c r="G22" s="8">
        <f t="shared" si="37"/>
        <v>963554.81000000052</v>
      </c>
      <c r="H22" s="8">
        <f t="shared" si="37"/>
        <v>1209422.9300000011</v>
      </c>
      <c r="I22" s="8">
        <f t="shared" si="37"/>
        <v>1100910.8000000012</v>
      </c>
      <c r="J22" s="8">
        <f t="shared" si="37"/>
        <v>1059257.6000000008</v>
      </c>
      <c r="K22" s="8">
        <f t="shared" si="37"/>
        <v>849886.90999999945</v>
      </c>
      <c r="L22" s="8">
        <f t="shared" si="37"/>
        <v>1141697.1499999999</v>
      </c>
      <c r="M22" s="8">
        <f t="shared" si="37"/>
        <v>912290.27000000048</v>
      </c>
      <c r="N22" s="8">
        <f t="shared" si="37"/>
        <v>793422.58000000101</v>
      </c>
      <c r="O22" s="8">
        <f t="shared" si="37"/>
        <v>1032832.160000001</v>
      </c>
      <c r="P22" s="8">
        <f t="shared" si="37"/>
        <v>1679393.0700000008</v>
      </c>
      <c r="Q22" s="8">
        <f t="shared" si="37"/>
        <v>1067999.8800000008</v>
      </c>
      <c r="R22" s="8">
        <f t="shared" si="37"/>
        <v>752272.65000000037</v>
      </c>
      <c r="S22" s="8">
        <f t="shared" si="37"/>
        <v>668676.83999999985</v>
      </c>
      <c r="T22" s="8">
        <f t="shared" si="37"/>
        <v>605071.58000000089</v>
      </c>
      <c r="U22" s="8">
        <f t="shared" si="37"/>
        <v>587443.78</v>
      </c>
      <c r="V22" s="8">
        <f t="shared" si="37"/>
        <v>673694.66999999981</v>
      </c>
      <c r="W22" s="8">
        <f t="shared" si="37"/>
        <v>549581.66000000027</v>
      </c>
      <c r="X22" s="8">
        <f t="shared" si="37"/>
        <v>839892.03999999864</v>
      </c>
      <c r="Y22" s="8">
        <f t="shared" si="37"/>
        <v>581321.46000000625</v>
      </c>
      <c r="Z22" s="8">
        <f t="shared" si="37"/>
        <v>828402.53999999957</v>
      </c>
      <c r="AA22" s="8">
        <f t="shared" si="37"/>
        <v>1247628.3399999994</v>
      </c>
      <c r="AB22" s="8">
        <f t="shared" si="37"/>
        <v>1651036.2500000012</v>
      </c>
      <c r="AC22" s="8">
        <f t="shared" si="37"/>
        <v>1307608.2299999993</v>
      </c>
      <c r="AD22" s="8">
        <f t="shared" si="37"/>
        <v>983138.56000000157</v>
      </c>
      <c r="AE22" s="8">
        <f t="shared" si="37"/>
        <v>951317.17999999877</v>
      </c>
      <c r="AF22" s="8">
        <f t="shared" si="37"/>
        <v>825649.67000000027</v>
      </c>
      <c r="AG22" s="8">
        <f t="shared" si="37"/>
        <v>865561.23000000091</v>
      </c>
      <c r="AH22" s="8">
        <f t="shared" si="37"/>
        <v>762481.28000000189</v>
      </c>
      <c r="AI22" s="8">
        <f t="shared" si="37"/>
        <v>1095264.1000000006</v>
      </c>
      <c r="AJ22" s="8">
        <f t="shared" si="37"/>
        <v>902649.9099999998</v>
      </c>
      <c r="AK22" s="8">
        <f t="shared" si="37"/>
        <v>953286.65000000026</v>
      </c>
      <c r="AL22" s="8">
        <f t="shared" si="37"/>
        <v>1403855.6599999997</v>
      </c>
      <c r="AM22" s="8">
        <f t="shared" si="37"/>
        <v>1409692.9200000002</v>
      </c>
      <c r="AN22" s="8">
        <f t="shared" si="37"/>
        <v>1651098.5899999987</v>
      </c>
      <c r="AO22" s="8">
        <f t="shared" si="37"/>
        <v>1525998.6600000018</v>
      </c>
      <c r="AP22" s="8">
        <f t="shared" si="37"/>
        <v>1212302.8400000008</v>
      </c>
      <c r="AQ22" s="8">
        <f t="shared" si="37"/>
        <v>1387648.3399999994</v>
      </c>
      <c r="AR22" s="8">
        <f t="shared" si="37"/>
        <v>1201311.2699999984</v>
      </c>
      <c r="AS22" s="8">
        <f t="shared" si="37"/>
        <v>1355020.9099999978</v>
      </c>
      <c r="AT22" s="8">
        <f t="shared" si="37"/>
        <v>1080130.0099999991</v>
      </c>
      <c r="AU22" s="8">
        <f t="shared" si="37"/>
        <v>1227612.18</v>
      </c>
      <c r="AV22" s="8">
        <f t="shared" si="37"/>
        <v>657135.6100000008</v>
      </c>
      <c r="AW22" s="8">
        <f t="shared" si="37"/>
        <v>519960.96000000084</v>
      </c>
      <c r="AX22" s="8">
        <f t="shared" si="37"/>
        <v>1160199.379999998</v>
      </c>
      <c r="AY22" s="8">
        <f t="shared" si="37"/>
        <v>976117.40000000119</v>
      </c>
      <c r="AZ22" s="8">
        <f t="shared" si="37"/>
        <v>1151127.7599999993</v>
      </c>
      <c r="BA22" s="8">
        <f t="shared" si="37"/>
        <v>1122982.200000002</v>
      </c>
      <c r="BB22" s="8">
        <f t="shared" si="37"/>
        <v>1223881.5</v>
      </c>
      <c r="BC22" s="8">
        <f t="shared" si="37"/>
        <v>977777.41000000061</v>
      </c>
      <c r="BD22" s="8">
        <f t="shared" si="37"/>
        <v>1233376.4399999995</v>
      </c>
      <c r="BE22" s="8">
        <f t="shared" si="37"/>
        <v>992894.10000000033</v>
      </c>
      <c r="BF22" s="8">
        <f t="shared" si="37"/>
        <v>444890.76000000094</v>
      </c>
      <c r="BG22" s="8">
        <f t="shared" si="37"/>
        <v>790124.56000000145</v>
      </c>
      <c r="BH22" s="8">
        <f t="shared" si="37"/>
        <v>756224.81000000145</v>
      </c>
      <c r="BI22" s="8">
        <f t="shared" si="37"/>
        <v>281437.57</v>
      </c>
      <c r="BJ22" s="8">
        <f t="shared" si="37"/>
        <v>879924.38602758572</v>
      </c>
      <c r="BK22" s="8">
        <f t="shared" si="37"/>
        <v>1131162.2971514084</v>
      </c>
      <c r="BL22" s="8">
        <f t="shared" si="37"/>
        <v>1196059.5744255616</v>
      </c>
      <c r="BM22" s="8">
        <f t="shared" si="37"/>
        <v>658001.97870433168</v>
      </c>
      <c r="BN22" s="8">
        <f t="shared" si="37"/>
        <v>898053.34037165251</v>
      </c>
      <c r="BO22" s="8">
        <f t="shared" ref="BO22:BY22" si="38">BO20+BO11</f>
        <v>382664.09631774784</v>
      </c>
      <c r="BP22" s="8">
        <f t="shared" si="38"/>
        <v>1172673.3024706114</v>
      </c>
      <c r="BQ22" s="8">
        <f t="shared" si="38"/>
        <v>735915.08910888992</v>
      </c>
      <c r="BR22" s="8">
        <f t="shared" si="38"/>
        <v>438059.60054742126</v>
      </c>
      <c r="BS22" s="8">
        <f t="shared" si="38"/>
        <v>707684.89221474389</v>
      </c>
      <c r="BT22" s="8">
        <f t="shared" si="38"/>
        <v>779132.79504270782</v>
      </c>
      <c r="BU22" s="8">
        <f t="shared" si="38"/>
        <v>570427.96761733794</v>
      </c>
      <c r="BV22" s="8">
        <f t="shared" si="38"/>
        <v>717610.58000000031</v>
      </c>
      <c r="BW22" s="8">
        <f t="shared" si="38"/>
        <v>744862.77000000025</v>
      </c>
      <c r="BX22" s="8">
        <f t="shared" si="38"/>
        <v>965180.60000000044</v>
      </c>
      <c r="BY22" s="8">
        <f t="shared" si="38"/>
        <v>994970.67268621619</v>
      </c>
      <c r="BZ22" s="8">
        <f t="shared" ref="BZ22:CS22" si="39">BZ20+BZ11</f>
        <v>1054147.2821800434</v>
      </c>
      <c r="CA22" s="8">
        <f t="shared" si="39"/>
        <v>0</v>
      </c>
      <c r="CB22" s="8">
        <f t="shared" si="39"/>
        <v>0</v>
      </c>
      <c r="CC22" s="8">
        <f t="shared" si="39"/>
        <v>0</v>
      </c>
      <c r="CD22" s="8">
        <f t="shared" si="39"/>
        <v>0</v>
      </c>
      <c r="CE22" s="8">
        <f t="shared" si="39"/>
        <v>0</v>
      </c>
      <c r="CF22" s="8">
        <f t="shared" si="39"/>
        <v>0</v>
      </c>
      <c r="CG22" s="8">
        <f t="shared" si="39"/>
        <v>0</v>
      </c>
      <c r="CH22" s="8">
        <f t="shared" si="39"/>
        <v>792207.00381490623</v>
      </c>
      <c r="CI22" s="8">
        <f t="shared" si="39"/>
        <v>860930.79619534709</v>
      </c>
      <c r="CJ22" s="8">
        <f t="shared" si="39"/>
        <v>1080124.5678022145</v>
      </c>
      <c r="CK22" s="8">
        <f t="shared" si="39"/>
        <v>1225256.8307663347</v>
      </c>
      <c r="CL22" s="8">
        <f t="shared" si="39"/>
        <v>1317011.9311073965</v>
      </c>
      <c r="CM22" s="8">
        <f t="shared" si="39"/>
        <v>1317011.9311073965</v>
      </c>
      <c r="CN22" s="8">
        <f t="shared" si="39"/>
        <v>1337474.1041172412</v>
      </c>
      <c r="CO22" s="8">
        <f t="shared" si="39"/>
        <v>1321460.9553303244</v>
      </c>
      <c r="CP22" s="8">
        <f t="shared" si="39"/>
        <v>1188621.9518809714</v>
      </c>
      <c r="CQ22" s="8">
        <f t="shared" si="39"/>
        <v>1148933.7027529916</v>
      </c>
      <c r="CR22" s="8">
        <f t="shared" si="39"/>
        <v>959197.09376918164</v>
      </c>
      <c r="CS22" s="8">
        <f t="shared" si="39"/>
        <v>943183.94498226442</v>
      </c>
    </row>
    <row r="23" spans="1:97" x14ac:dyDescent="0.3">
      <c r="A23" s="3" t="s">
        <v>29</v>
      </c>
      <c r="B23" s="9">
        <f>B22/B4</f>
        <v>0.13992407585664793</v>
      </c>
      <c r="C23" s="9">
        <f t="shared" ref="C23:BN23" si="40">C22/C4</f>
        <v>0.13570369354500247</v>
      </c>
      <c r="D23" s="9">
        <f t="shared" si="40"/>
        <v>0.18259273602304116</v>
      </c>
      <c r="E23" s="9">
        <f t="shared" si="40"/>
        <v>0.15803928142355106</v>
      </c>
      <c r="F23" s="9">
        <f t="shared" si="40"/>
        <v>0.16253953817873576</v>
      </c>
      <c r="G23" s="9">
        <f t="shared" si="40"/>
        <v>0.13910306301871023</v>
      </c>
      <c r="H23" s="9">
        <f t="shared" si="40"/>
        <v>0.16196481765262744</v>
      </c>
      <c r="I23" s="9">
        <f t="shared" si="40"/>
        <v>0.15963899418867286</v>
      </c>
      <c r="J23" s="9">
        <f t="shared" si="40"/>
        <v>0.14034061664044037</v>
      </c>
      <c r="K23" s="9">
        <f t="shared" si="40"/>
        <v>0.15028568388708474</v>
      </c>
      <c r="L23" s="9">
        <f t="shared" si="40"/>
        <v>0.19027627984808471</v>
      </c>
      <c r="M23" s="9">
        <f t="shared" si="40"/>
        <v>0.22264154537791578</v>
      </c>
      <c r="N23" s="9">
        <f t="shared" si="40"/>
        <v>0.14268160898503587</v>
      </c>
      <c r="O23" s="9">
        <f t="shared" si="40"/>
        <v>0.19240427914582545</v>
      </c>
      <c r="P23" s="9">
        <f t="shared" si="40"/>
        <v>0.25819899382631739</v>
      </c>
      <c r="Q23" s="9">
        <f t="shared" si="40"/>
        <v>0.19117374491952149</v>
      </c>
      <c r="R23" s="9">
        <f t="shared" si="40"/>
        <v>0.15110520867221977</v>
      </c>
      <c r="S23" s="9">
        <f t="shared" si="40"/>
        <v>0.16382966715516317</v>
      </c>
      <c r="T23" s="9">
        <f t="shared" si="40"/>
        <v>0.15553193680497424</v>
      </c>
      <c r="U23" s="9">
        <f t="shared" si="40"/>
        <v>0.14097882520742291</v>
      </c>
      <c r="V23" s="9">
        <f t="shared" si="40"/>
        <v>0.16302130488497019</v>
      </c>
      <c r="W23" s="9">
        <f t="shared" si="40"/>
        <v>0.14268549655014245</v>
      </c>
      <c r="X23" s="9">
        <f t="shared" si="40"/>
        <v>0.18495516965928474</v>
      </c>
      <c r="Y23" s="9">
        <f t="shared" si="40"/>
        <v>0.17943819792126323</v>
      </c>
      <c r="Z23" s="9">
        <f t="shared" si="40"/>
        <v>0.20554295852029761</v>
      </c>
      <c r="AA23" s="9">
        <f t="shared" si="40"/>
        <v>0.24002298381411291</v>
      </c>
      <c r="AB23" s="9">
        <f t="shared" si="40"/>
        <v>0.24478915997883455</v>
      </c>
      <c r="AC23" s="9">
        <f t="shared" si="40"/>
        <v>0.20292587977301105</v>
      </c>
      <c r="AD23" s="9">
        <f t="shared" si="40"/>
        <v>0.15834768846230018</v>
      </c>
      <c r="AE23" s="9">
        <f t="shared" si="40"/>
        <v>0.14126925113883804</v>
      </c>
      <c r="AF23" s="9">
        <f t="shared" si="40"/>
        <v>0.11537169994466742</v>
      </c>
      <c r="AG23" s="9">
        <f t="shared" si="40"/>
        <v>0.1227608518951088</v>
      </c>
      <c r="AH23" s="9">
        <f t="shared" si="40"/>
        <v>0.11545536269347646</v>
      </c>
      <c r="AI23" s="9">
        <f t="shared" si="40"/>
        <v>0.15882212122997399</v>
      </c>
      <c r="AJ23" s="9">
        <f t="shared" si="40"/>
        <v>0.15529987140157717</v>
      </c>
      <c r="AK23" s="9">
        <f t="shared" si="40"/>
        <v>0.17078971925155889</v>
      </c>
      <c r="AL23" s="9">
        <f t="shared" si="40"/>
        <v>0.21466350268042811</v>
      </c>
      <c r="AM23" s="9">
        <f t="shared" si="40"/>
        <v>0.20164229858910701</v>
      </c>
      <c r="AN23" s="9">
        <f t="shared" si="40"/>
        <v>0.19634868269828593</v>
      </c>
      <c r="AO23" s="9">
        <f t="shared" si="40"/>
        <v>0.20785833394365122</v>
      </c>
      <c r="AP23" s="9">
        <f t="shared" si="40"/>
        <v>0.16537617756654649</v>
      </c>
      <c r="AQ23" s="9">
        <f t="shared" si="40"/>
        <v>0.17636210328827934</v>
      </c>
      <c r="AR23" s="9">
        <f t="shared" si="40"/>
        <v>0.13354633364253529</v>
      </c>
      <c r="AS23" s="9">
        <f t="shared" si="40"/>
        <v>0.15165820992312673</v>
      </c>
      <c r="AT23" s="9">
        <f t="shared" si="40"/>
        <v>0.13433996238496002</v>
      </c>
      <c r="AU23" s="9">
        <f t="shared" si="40"/>
        <v>0.14616265838662706</v>
      </c>
      <c r="AV23" s="9">
        <f t="shared" si="40"/>
        <v>0.11675066511537956</v>
      </c>
      <c r="AW23" s="9">
        <f t="shared" si="40"/>
        <v>0.11258885429781722</v>
      </c>
      <c r="AX23" s="9">
        <f t="shared" si="40"/>
        <v>0.19867589517434936</v>
      </c>
      <c r="AY23" s="9">
        <f t="shared" si="40"/>
        <v>0.16225213019278467</v>
      </c>
      <c r="AZ23" s="9">
        <f t="shared" si="40"/>
        <v>0.18118450336581401</v>
      </c>
      <c r="BA23" s="9">
        <f t="shared" si="40"/>
        <v>0.19205875724288946</v>
      </c>
      <c r="BB23" s="9">
        <f t="shared" si="40"/>
        <v>0.18017200160263791</v>
      </c>
      <c r="BC23" s="9">
        <f t="shared" si="40"/>
        <v>0.15878560825780899</v>
      </c>
      <c r="BD23" s="9">
        <f t="shared" si="40"/>
        <v>0.17386873485564905</v>
      </c>
      <c r="BE23" s="9">
        <f t="shared" si="40"/>
        <v>0.15479299921653925</v>
      </c>
      <c r="BF23" s="9">
        <f t="shared" si="40"/>
        <v>8.4786837946192531E-2</v>
      </c>
      <c r="BG23" s="9">
        <f t="shared" si="40"/>
        <v>0.13861847007541422</v>
      </c>
      <c r="BH23" s="9">
        <f t="shared" si="40"/>
        <v>0.14403800843675077</v>
      </c>
      <c r="BI23" s="9">
        <f t="shared" si="40"/>
        <v>8.8575591014514093E-2</v>
      </c>
      <c r="BJ23" s="9">
        <f t="shared" si="40"/>
        <v>0.15980973256681158</v>
      </c>
      <c r="BK23" s="9">
        <f t="shared" si="40"/>
        <v>0.18387058010021406</v>
      </c>
      <c r="BL23" s="9">
        <f t="shared" si="40"/>
        <v>0.17022498500864541</v>
      </c>
      <c r="BM23" s="9">
        <f t="shared" si="40"/>
        <v>0.11526020881768176</v>
      </c>
      <c r="BN23" s="9">
        <f t="shared" si="40"/>
        <v>0.13797414643617778</v>
      </c>
      <c r="BO23" s="9">
        <f t="shared" ref="BO23:BY23" si="41">BO22/BO4</f>
        <v>7.1489116272712497E-2</v>
      </c>
      <c r="BP23" s="9">
        <f t="shared" si="41"/>
        <v>0.15528262556916542</v>
      </c>
      <c r="BQ23" s="9">
        <f t="shared" si="41"/>
        <v>0.11467695599122768</v>
      </c>
      <c r="BR23" s="9">
        <f t="shared" si="41"/>
        <v>8.1669735964672502E-2</v>
      </c>
      <c r="BS23" s="9">
        <f t="shared" si="41"/>
        <v>0.11193825232941465</v>
      </c>
      <c r="BT23" s="9">
        <f t="shared" si="41"/>
        <v>0.13026681544269275</v>
      </c>
      <c r="BU23" s="9">
        <f t="shared" si="41"/>
        <v>0.12792511417874333</v>
      </c>
      <c r="BV23" s="9">
        <f t="shared" si="41"/>
        <v>0.14577879181476588</v>
      </c>
      <c r="BW23" s="9">
        <f t="shared" si="41"/>
        <v>0.15119771504779608</v>
      </c>
      <c r="BX23" s="9">
        <f t="shared" si="41"/>
        <v>0.17900352063530162</v>
      </c>
      <c r="BY23" s="9">
        <f t="shared" si="41"/>
        <v>0.17935304873194019</v>
      </c>
      <c r="BZ23" s="9">
        <f t="shared" ref="BZ23:CS23" si="42">BZ22/BZ4</f>
        <v>0.1741503833499089</v>
      </c>
      <c r="CA23" s="9" t="e">
        <f t="shared" si="42"/>
        <v>#DIV/0!</v>
      </c>
      <c r="CB23" s="9" t="e">
        <f t="shared" si="42"/>
        <v>#DIV/0!</v>
      </c>
      <c r="CC23" s="9" t="e">
        <f t="shared" si="42"/>
        <v>#DIV/0!</v>
      </c>
      <c r="CD23" s="9" t="e">
        <f t="shared" si="42"/>
        <v>#DIV/0!</v>
      </c>
      <c r="CE23" s="9" t="e">
        <f t="shared" si="42"/>
        <v>#DIV/0!</v>
      </c>
      <c r="CF23" s="9" t="e">
        <f t="shared" si="42"/>
        <v>#DIV/0!</v>
      </c>
      <c r="CG23" s="9" t="e">
        <f t="shared" si="42"/>
        <v>#DIV/0!</v>
      </c>
      <c r="CH23" s="9">
        <f t="shared" si="42"/>
        <v>0.13697737486701905</v>
      </c>
      <c r="CI23" s="9">
        <f t="shared" si="42"/>
        <v>0.14163680092183967</v>
      </c>
      <c r="CJ23" s="9">
        <f t="shared" si="42"/>
        <v>0.15575065577915584</v>
      </c>
      <c r="CK23" s="9">
        <f t="shared" si="42"/>
        <v>0.16402700975526338</v>
      </c>
      <c r="CL23" s="9">
        <f t="shared" si="42"/>
        <v>0.1702019674377504</v>
      </c>
      <c r="CM23" s="9">
        <f t="shared" si="42"/>
        <v>0.1702019674377504</v>
      </c>
      <c r="CN23" s="9">
        <f t="shared" si="42"/>
        <v>0.17201195041500261</v>
      </c>
      <c r="CO23" s="9">
        <f t="shared" si="42"/>
        <v>0.17172017832531355</v>
      </c>
      <c r="CP23" s="9">
        <f t="shared" si="42"/>
        <v>0.16491120985389013</v>
      </c>
      <c r="CQ23" s="9">
        <f t="shared" si="42"/>
        <v>0.16497238854072016</v>
      </c>
      <c r="CR23" s="9">
        <f t="shared" si="42"/>
        <v>0.15147545208566501</v>
      </c>
      <c r="CS23" s="9">
        <f t="shared" si="42"/>
        <v>0.15085343440231216</v>
      </c>
    </row>
    <row r="24" spans="1:97" x14ac:dyDescent="0.3">
      <c r="A24" s="3"/>
    </row>
    <row r="25" spans="1:97" x14ac:dyDescent="0.3">
      <c r="A25" s="3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</row>
    <row r="26" spans="1:97" x14ac:dyDescent="0.3">
      <c r="A26" s="3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</row>
    <row r="27" spans="1:97" x14ac:dyDescent="0.3">
      <c r="A27" s="3" t="s">
        <v>32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</row>
    <row r="28" spans="1:97" x14ac:dyDescent="0.3">
      <c r="A28" s="3" t="s">
        <v>33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</row>
    <row r="29" spans="1:97" x14ac:dyDescent="0.3">
      <c r="A29" s="3" t="s">
        <v>34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</row>
    <row r="30" spans="1:97" x14ac:dyDescent="0.3">
      <c r="A30" s="3" t="s">
        <v>35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</row>
    <row r="31" spans="1:97" x14ac:dyDescent="0.3">
      <c r="A31" s="3"/>
    </row>
    <row r="32" spans="1:97" x14ac:dyDescent="0.3">
      <c r="A32" s="5" t="s">
        <v>11</v>
      </c>
      <c r="B32" s="13">
        <v>143501.76000000004</v>
      </c>
      <c r="C32" s="13">
        <v>152772.82999999999</v>
      </c>
      <c r="D32" s="13">
        <v>215564.01000000004</v>
      </c>
      <c r="E32" s="13">
        <v>241764.4</v>
      </c>
      <c r="F32" s="13">
        <v>236241.72000000003</v>
      </c>
      <c r="G32" s="13">
        <v>220838.47</v>
      </c>
      <c r="H32" s="13">
        <v>223260.04</v>
      </c>
      <c r="I32" s="13">
        <v>226775.41000000006</v>
      </c>
      <c r="J32" s="13">
        <v>241469.62000000002</v>
      </c>
      <c r="K32" s="13">
        <v>195485.53000000003</v>
      </c>
      <c r="L32" s="13">
        <v>204673.9</v>
      </c>
      <c r="M32" s="13">
        <v>388952.82</v>
      </c>
      <c r="N32" s="13">
        <v>186657.28</v>
      </c>
      <c r="O32" s="13">
        <v>179546.35</v>
      </c>
      <c r="P32" s="13">
        <v>182553.39</v>
      </c>
      <c r="Q32" s="13">
        <v>170794.47</v>
      </c>
      <c r="R32" s="13">
        <v>132098.85</v>
      </c>
      <c r="S32" s="13">
        <v>104762.28</v>
      </c>
      <c r="T32" s="13">
        <v>129707.68</v>
      </c>
      <c r="U32" s="13">
        <v>143404.16999999998</v>
      </c>
      <c r="V32" s="13">
        <v>135405.33999999997</v>
      </c>
      <c r="W32" s="13">
        <v>116566.74</v>
      </c>
      <c r="X32" s="13">
        <v>121614.70000000001</v>
      </c>
      <c r="Y32" s="13">
        <v>221390.16</v>
      </c>
      <c r="Z32" s="13">
        <v>128122.18000000001</v>
      </c>
      <c r="AA32" s="13">
        <v>154672.91999999998</v>
      </c>
      <c r="AB32" s="13">
        <v>141140.51</v>
      </c>
      <c r="AC32" s="13">
        <v>169997.55999999997</v>
      </c>
      <c r="AD32" s="13">
        <v>176798.02000000002</v>
      </c>
      <c r="AE32" s="13">
        <v>207439.95999999993</v>
      </c>
      <c r="AF32" s="13">
        <v>207342.11</v>
      </c>
      <c r="AG32" s="13">
        <v>168455.15</v>
      </c>
      <c r="AH32" s="13">
        <v>189461.23</v>
      </c>
      <c r="AI32" s="13">
        <v>212050.99999999997</v>
      </c>
      <c r="AJ32" s="13">
        <v>185997.99</v>
      </c>
      <c r="AK32" s="13">
        <v>211823.30000000002</v>
      </c>
      <c r="AL32" s="13">
        <v>147581.03999999998</v>
      </c>
      <c r="AM32" s="13">
        <v>156174.39999999999</v>
      </c>
      <c r="AN32" s="13">
        <v>159763.78</v>
      </c>
      <c r="AO32" s="13">
        <v>195610.66</v>
      </c>
      <c r="AP32" s="13">
        <v>189116.14</v>
      </c>
      <c r="AQ32" s="13">
        <v>194964.63999999998</v>
      </c>
      <c r="AR32" s="13">
        <v>169025.12999999998</v>
      </c>
      <c r="AS32" s="13">
        <v>203969.45</v>
      </c>
      <c r="AT32" s="13">
        <v>201704.7</v>
      </c>
      <c r="AU32" s="13">
        <v>211714.21000000002</v>
      </c>
      <c r="AV32" s="13">
        <v>196836.03</v>
      </c>
      <c r="AW32" s="13">
        <v>206622.94999999998</v>
      </c>
      <c r="AX32" s="13">
        <v>143970.13999999998</v>
      </c>
      <c r="AY32" s="13">
        <v>148578.16</v>
      </c>
      <c r="AZ32" s="13">
        <v>173434.19</v>
      </c>
      <c r="BA32" s="13">
        <v>147993.33000000002</v>
      </c>
      <c r="BB32" s="13">
        <v>165496.49999999997</v>
      </c>
      <c r="BC32" s="13">
        <v>156001.16999999998</v>
      </c>
      <c r="BD32" s="13">
        <v>159394.81</v>
      </c>
      <c r="BE32" s="13">
        <v>143723.38</v>
      </c>
      <c r="BF32" s="13">
        <v>147035.37999999998</v>
      </c>
      <c r="BG32" s="13">
        <v>155790.91999999998</v>
      </c>
      <c r="BH32" s="13">
        <v>148246.72</v>
      </c>
      <c r="BI32" s="13">
        <v>136960.38</v>
      </c>
      <c r="BJ32" s="13">
        <v>158259.59999999998</v>
      </c>
      <c r="BK32" s="13">
        <v>163351.79000000004</v>
      </c>
      <c r="BL32" s="13">
        <v>174903</v>
      </c>
      <c r="BM32" s="13">
        <v>162442.59000000003</v>
      </c>
      <c r="BN32" s="13">
        <v>172991.77</v>
      </c>
      <c r="BO32" s="13">
        <v>161390.93</v>
      </c>
      <c r="BP32" s="13">
        <v>180464.14</v>
      </c>
      <c r="BQ32" s="13">
        <v>166334.13999999998</v>
      </c>
      <c r="BR32" s="13">
        <v>164760.69999999998</v>
      </c>
      <c r="BS32" s="13">
        <v>179723.91000000003</v>
      </c>
      <c r="BT32" s="13">
        <v>173025.44000000003</v>
      </c>
      <c r="BU32" s="13">
        <v>175942.23000000004</v>
      </c>
      <c r="BV32" s="13">
        <v>154197</v>
      </c>
      <c r="BW32" s="13">
        <v>154319.93</v>
      </c>
      <c r="BX32" s="13">
        <v>171844.57</v>
      </c>
      <c r="BY32" s="13">
        <v>171258.66</v>
      </c>
      <c r="BZ32" s="13">
        <v>153775.32999999999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167311.01347785082</v>
      </c>
      <c r="CI32" s="13">
        <v>168540.57611479471</v>
      </c>
      <c r="CJ32" s="13">
        <v>171904.4738951129</v>
      </c>
      <c r="CK32" s="13">
        <v>173922.8125633038</v>
      </c>
      <c r="CL32" s="13">
        <v>174781.18647966086</v>
      </c>
      <c r="CM32" s="13">
        <v>174781.18647966086</v>
      </c>
      <c r="CN32" s="13">
        <v>174873.98365980756</v>
      </c>
      <c r="CO32" s="13">
        <v>174525.99423425741</v>
      </c>
      <c r="CP32" s="13">
        <v>172646.85133628658</v>
      </c>
      <c r="CQ32" s="13">
        <v>171440.48799437936</v>
      </c>
      <c r="CR32" s="13">
        <v>169236.55496589502</v>
      </c>
      <c r="CS32" s="13">
        <v>168888.56554034486</v>
      </c>
    </row>
    <row r="33" spans="1:97" x14ac:dyDescent="0.3">
      <c r="A33" s="5" t="s">
        <v>12</v>
      </c>
      <c r="B33" s="1">
        <v>243195.66999999998</v>
      </c>
      <c r="C33" s="1">
        <v>263502.27999999997</v>
      </c>
      <c r="D33" s="1">
        <v>339829.6</v>
      </c>
      <c r="E33" s="1">
        <v>304109.11</v>
      </c>
      <c r="F33" s="1">
        <v>391311.92</v>
      </c>
      <c r="G33" s="1">
        <v>226546.75</v>
      </c>
      <c r="H33" s="1">
        <v>371719.75</v>
      </c>
      <c r="I33" s="1">
        <v>323204.11000000004</v>
      </c>
      <c r="J33" s="1">
        <v>371875.05</v>
      </c>
      <c r="K33" s="1">
        <v>244511.54</v>
      </c>
      <c r="L33" s="1">
        <v>216127.74</v>
      </c>
      <c r="M33" s="1">
        <v>171742.58000000002</v>
      </c>
      <c r="N33" s="1">
        <v>280406.87</v>
      </c>
      <c r="O33" s="1">
        <v>253355.55</v>
      </c>
      <c r="P33" s="1">
        <v>305539.34000000003</v>
      </c>
      <c r="Q33" s="1">
        <v>237690.41</v>
      </c>
      <c r="R33" s="1">
        <v>211927.29</v>
      </c>
      <c r="S33" s="1">
        <v>228323.68000000002</v>
      </c>
      <c r="T33" s="1">
        <v>175141.6</v>
      </c>
      <c r="U33" s="1">
        <v>158955.76999999999</v>
      </c>
      <c r="V33" s="1">
        <v>177229.97</v>
      </c>
      <c r="W33" s="1">
        <v>155906.31000000003</v>
      </c>
      <c r="X33" s="1">
        <v>260780.25</v>
      </c>
      <c r="Y33" s="1">
        <v>107606.32</v>
      </c>
      <c r="Z33" s="1">
        <v>196641.29</v>
      </c>
      <c r="AA33" s="1">
        <v>331432.63</v>
      </c>
      <c r="AB33" s="1">
        <v>381851.60000000003</v>
      </c>
      <c r="AC33" s="1">
        <v>208485.55</v>
      </c>
      <c r="AD33" s="1">
        <v>232628.73</v>
      </c>
      <c r="AE33" s="1">
        <v>248877</v>
      </c>
      <c r="AF33" s="1">
        <v>246748.31</v>
      </c>
      <c r="AG33" s="1">
        <v>272585.34000000003</v>
      </c>
      <c r="AH33" s="1">
        <v>233518.12</v>
      </c>
      <c r="AI33" s="1">
        <v>315862.33</v>
      </c>
      <c r="AJ33" s="1">
        <v>173389</v>
      </c>
      <c r="AK33" s="1">
        <v>211958.58000000002</v>
      </c>
      <c r="AL33" s="1">
        <v>144232.54</v>
      </c>
      <c r="AM33" s="1">
        <v>361664.23000000004</v>
      </c>
      <c r="AN33" s="1">
        <v>289910.05</v>
      </c>
      <c r="AO33" s="1">
        <v>232374.67</v>
      </c>
      <c r="AP33" s="1">
        <v>229842.35</v>
      </c>
      <c r="AQ33" s="1">
        <v>339242.17</v>
      </c>
      <c r="AR33" s="1">
        <v>237519.06</v>
      </c>
      <c r="AS33" s="1">
        <v>390827.64</v>
      </c>
      <c r="AT33" s="1">
        <v>228040.93</v>
      </c>
      <c r="AU33" s="1">
        <v>266552.21000000002</v>
      </c>
      <c r="AV33" s="1">
        <v>153532.01999999999</v>
      </c>
      <c r="AW33" s="1">
        <v>173087.64</v>
      </c>
      <c r="AX33" s="1">
        <v>145048.15</v>
      </c>
      <c r="AY33" s="1">
        <v>217306.67</v>
      </c>
      <c r="AZ33" s="1">
        <v>204815.49</v>
      </c>
      <c r="BA33" s="1">
        <v>209354.91</v>
      </c>
      <c r="BB33" s="1">
        <v>218295.92</v>
      </c>
      <c r="BC33" s="1">
        <v>192342.07</v>
      </c>
      <c r="BD33" s="1">
        <v>248983.66</v>
      </c>
      <c r="BE33" s="1">
        <v>180874.56</v>
      </c>
      <c r="BF33" s="1">
        <v>137404.22</v>
      </c>
      <c r="BG33" s="1">
        <v>170855.56</v>
      </c>
      <c r="BH33" s="1">
        <v>128123.28</v>
      </c>
      <c r="BI33" s="1">
        <v>66117.3</v>
      </c>
      <c r="BJ33" s="1">
        <v>183512.66</v>
      </c>
      <c r="BK33" s="1">
        <v>209198.21</v>
      </c>
      <c r="BL33" s="1">
        <v>259927.49</v>
      </c>
      <c r="BM33" s="1">
        <v>194357.1</v>
      </c>
      <c r="BN33" s="1">
        <v>230973.03</v>
      </c>
      <c r="BO33" s="1">
        <v>151913.06</v>
      </c>
      <c r="BP33" s="1">
        <v>263897.51</v>
      </c>
      <c r="BQ33" s="1">
        <v>135695.54999999999</v>
      </c>
      <c r="BR33" s="1">
        <v>148723.66</v>
      </c>
      <c r="BS33" s="1">
        <v>172062.96</v>
      </c>
      <c r="BT33" s="1">
        <v>193171.15</v>
      </c>
      <c r="BU33" s="1">
        <v>116097.09</v>
      </c>
      <c r="BV33" s="1">
        <v>125838.39999999999</v>
      </c>
      <c r="BW33" s="1">
        <v>121701.94</v>
      </c>
      <c r="BX33" s="1">
        <v>164775.85999999999</v>
      </c>
      <c r="BY33" s="1">
        <v>138996.67000000001</v>
      </c>
      <c r="BZ33" s="1">
        <v>167551.31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191330.9998742498</v>
      </c>
      <c r="CI33" s="1">
        <v>201157.10742593123</v>
      </c>
      <c r="CJ33" s="1">
        <v>228039.85450128608</v>
      </c>
      <c r="CK33" s="1">
        <v>244169.502746499</v>
      </c>
      <c r="CL33" s="1">
        <v>251029.2382071068</v>
      </c>
      <c r="CM33" s="1">
        <v>251029.2382071068</v>
      </c>
      <c r="CN33" s="1">
        <v>251770.83122987521</v>
      </c>
      <c r="CO33" s="1">
        <v>248989.85739449368</v>
      </c>
      <c r="CP33" s="1">
        <v>233972.59868343337</v>
      </c>
      <c r="CQ33" s="1">
        <v>224331.88938744404</v>
      </c>
      <c r="CR33" s="1">
        <v>206719.0550966943</v>
      </c>
      <c r="CS33" s="1">
        <v>203938.08126131276</v>
      </c>
    </row>
    <row r="34" spans="1:97" x14ac:dyDescent="0.3">
      <c r="A34" s="3"/>
    </row>
    <row r="35" spans="1:97" x14ac:dyDescent="0.3">
      <c r="A35" s="3" t="s">
        <v>36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</row>
    <row r="36" spans="1:97" x14ac:dyDescent="0.3">
      <c r="A36" s="3" t="s">
        <v>37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</row>
    <row r="37" spans="1:97" x14ac:dyDescent="0.3">
      <c r="A37" s="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</row>
    <row r="38" spans="1:97" x14ac:dyDescent="0.3">
      <c r="A38" s="3" t="s">
        <v>38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</row>
    <row r="39" spans="1:97" x14ac:dyDescent="0.3">
      <c r="A39" s="3" t="s">
        <v>39</v>
      </c>
      <c r="B39" s="12"/>
      <c r="C39" s="12">
        <f t="shared" ref="C39:BN39" si="43">C35+C36</f>
        <v>0</v>
      </c>
      <c r="D39" s="12">
        <f t="shared" si="43"/>
        <v>0</v>
      </c>
      <c r="E39" s="12">
        <f t="shared" si="43"/>
        <v>0</v>
      </c>
      <c r="F39" s="12">
        <f t="shared" si="43"/>
        <v>0</v>
      </c>
      <c r="G39" s="12">
        <f t="shared" si="43"/>
        <v>0</v>
      </c>
      <c r="H39" s="12">
        <f t="shared" si="43"/>
        <v>0</v>
      </c>
      <c r="I39" s="12">
        <f t="shared" si="43"/>
        <v>0</v>
      </c>
      <c r="J39" s="12">
        <f t="shared" si="43"/>
        <v>0</v>
      </c>
      <c r="K39" s="12">
        <f t="shared" si="43"/>
        <v>0</v>
      </c>
      <c r="L39" s="12">
        <f t="shared" si="43"/>
        <v>0</v>
      </c>
      <c r="M39" s="12">
        <f t="shared" si="43"/>
        <v>0</v>
      </c>
      <c r="N39" s="12">
        <f t="shared" si="43"/>
        <v>0</v>
      </c>
      <c r="O39" s="12">
        <f t="shared" si="43"/>
        <v>0</v>
      </c>
      <c r="P39" s="12">
        <f t="shared" si="43"/>
        <v>0</v>
      </c>
      <c r="Q39" s="12">
        <f t="shared" si="43"/>
        <v>0</v>
      </c>
      <c r="R39" s="12">
        <f t="shared" si="43"/>
        <v>0</v>
      </c>
      <c r="S39" s="12">
        <f t="shared" si="43"/>
        <v>0</v>
      </c>
      <c r="T39" s="12">
        <f t="shared" si="43"/>
        <v>0</v>
      </c>
      <c r="U39" s="12">
        <f t="shared" si="43"/>
        <v>0</v>
      </c>
      <c r="V39" s="12">
        <f t="shared" si="43"/>
        <v>0</v>
      </c>
      <c r="W39" s="12">
        <f t="shared" si="43"/>
        <v>0</v>
      </c>
      <c r="X39" s="12">
        <f t="shared" si="43"/>
        <v>0</v>
      </c>
      <c r="Y39" s="12">
        <f t="shared" si="43"/>
        <v>0</v>
      </c>
      <c r="Z39" s="12">
        <f t="shared" si="43"/>
        <v>0</v>
      </c>
      <c r="AA39" s="12">
        <f t="shared" si="43"/>
        <v>0</v>
      </c>
      <c r="AB39" s="12">
        <f t="shared" si="43"/>
        <v>0</v>
      </c>
      <c r="AC39" s="12">
        <f t="shared" si="43"/>
        <v>0</v>
      </c>
      <c r="AD39" s="12">
        <f t="shared" si="43"/>
        <v>0</v>
      </c>
      <c r="AE39" s="12">
        <f t="shared" si="43"/>
        <v>0</v>
      </c>
      <c r="AF39" s="12">
        <f t="shared" si="43"/>
        <v>0</v>
      </c>
      <c r="AG39" s="12">
        <f t="shared" si="43"/>
        <v>0</v>
      </c>
      <c r="AH39" s="12">
        <f t="shared" si="43"/>
        <v>0</v>
      </c>
      <c r="AI39" s="12">
        <f t="shared" si="43"/>
        <v>0</v>
      </c>
      <c r="AJ39" s="12">
        <f t="shared" si="43"/>
        <v>0</v>
      </c>
      <c r="AK39" s="12">
        <f t="shared" si="43"/>
        <v>0</v>
      </c>
      <c r="AL39" s="12">
        <f t="shared" si="43"/>
        <v>0</v>
      </c>
      <c r="AM39" s="12">
        <f t="shared" si="43"/>
        <v>0</v>
      </c>
      <c r="AN39" s="12">
        <f t="shared" si="43"/>
        <v>0</v>
      </c>
      <c r="AO39" s="12">
        <f t="shared" si="43"/>
        <v>0</v>
      </c>
      <c r="AP39" s="12">
        <f t="shared" si="43"/>
        <v>0</v>
      </c>
      <c r="AQ39" s="12">
        <f t="shared" si="43"/>
        <v>0</v>
      </c>
      <c r="AR39" s="12">
        <f t="shared" si="43"/>
        <v>0</v>
      </c>
      <c r="AS39" s="12">
        <f t="shared" si="43"/>
        <v>0</v>
      </c>
      <c r="AT39" s="12">
        <f t="shared" si="43"/>
        <v>0</v>
      </c>
      <c r="AU39" s="12">
        <f t="shared" si="43"/>
        <v>0</v>
      </c>
      <c r="AV39" s="12">
        <f t="shared" si="43"/>
        <v>0</v>
      </c>
      <c r="AW39" s="12">
        <f t="shared" si="43"/>
        <v>0</v>
      </c>
      <c r="AX39" s="12">
        <f t="shared" si="43"/>
        <v>0</v>
      </c>
      <c r="AY39" s="12">
        <f t="shared" si="43"/>
        <v>0</v>
      </c>
      <c r="AZ39" s="12">
        <f t="shared" si="43"/>
        <v>0</v>
      </c>
      <c r="BA39" s="12">
        <f t="shared" si="43"/>
        <v>0</v>
      </c>
      <c r="BB39" s="12">
        <f t="shared" si="43"/>
        <v>0</v>
      </c>
      <c r="BC39" s="12">
        <f t="shared" si="43"/>
        <v>0</v>
      </c>
      <c r="BD39" s="12">
        <f t="shared" si="43"/>
        <v>0</v>
      </c>
      <c r="BE39" s="12">
        <f t="shared" si="43"/>
        <v>0</v>
      </c>
      <c r="BF39" s="12">
        <f t="shared" si="43"/>
        <v>0</v>
      </c>
      <c r="BG39" s="12">
        <f t="shared" si="43"/>
        <v>0</v>
      </c>
      <c r="BH39" s="12">
        <f t="shared" si="43"/>
        <v>0</v>
      </c>
      <c r="BI39" s="12">
        <f t="shared" si="43"/>
        <v>0</v>
      </c>
      <c r="BJ39" s="12">
        <f t="shared" si="43"/>
        <v>0</v>
      </c>
      <c r="BK39" s="12">
        <f t="shared" si="43"/>
        <v>0</v>
      </c>
      <c r="BL39" s="12">
        <f t="shared" si="43"/>
        <v>0</v>
      </c>
      <c r="BM39" s="12">
        <f t="shared" si="43"/>
        <v>0</v>
      </c>
      <c r="BN39" s="12">
        <f t="shared" si="43"/>
        <v>0</v>
      </c>
      <c r="BO39" s="12">
        <f t="shared" ref="BO39:CS39" si="44">BO35+BO36</f>
        <v>0</v>
      </c>
      <c r="BP39" s="12">
        <f t="shared" si="44"/>
        <v>0</v>
      </c>
      <c r="BQ39" s="12">
        <f t="shared" si="44"/>
        <v>0</v>
      </c>
      <c r="BR39" s="12">
        <f t="shared" si="44"/>
        <v>0</v>
      </c>
      <c r="BS39" s="12">
        <f t="shared" si="44"/>
        <v>0</v>
      </c>
      <c r="BT39" s="12">
        <f t="shared" si="44"/>
        <v>0</v>
      </c>
      <c r="BU39" s="12">
        <f t="shared" si="44"/>
        <v>0</v>
      </c>
      <c r="BV39" s="12">
        <f t="shared" si="44"/>
        <v>0</v>
      </c>
      <c r="BW39" s="12">
        <f t="shared" si="44"/>
        <v>0</v>
      </c>
      <c r="BX39" s="12">
        <f t="shared" si="44"/>
        <v>0</v>
      </c>
      <c r="BY39" s="12">
        <f t="shared" si="44"/>
        <v>0</v>
      </c>
      <c r="BZ39" s="12"/>
      <c r="CA39" s="12"/>
      <c r="CB39" s="12"/>
      <c r="CC39" s="12"/>
      <c r="CD39" s="12"/>
      <c r="CE39" s="12"/>
      <c r="CF39" s="12"/>
      <c r="CG39" s="12"/>
      <c r="CH39" s="12">
        <f t="shared" si="44"/>
        <v>0</v>
      </c>
      <c r="CI39" s="12">
        <f t="shared" si="44"/>
        <v>0</v>
      </c>
      <c r="CJ39" s="12">
        <f t="shared" si="44"/>
        <v>0</v>
      </c>
      <c r="CK39" s="12">
        <f t="shared" si="44"/>
        <v>0</v>
      </c>
      <c r="CL39" s="12">
        <f t="shared" si="44"/>
        <v>0</v>
      </c>
      <c r="CM39" s="12">
        <f t="shared" si="44"/>
        <v>0</v>
      </c>
      <c r="CN39" s="12">
        <f t="shared" si="44"/>
        <v>0</v>
      </c>
      <c r="CO39" s="12">
        <f t="shared" si="44"/>
        <v>0</v>
      </c>
      <c r="CP39" s="12">
        <f t="shared" si="44"/>
        <v>0</v>
      </c>
      <c r="CQ39" s="12">
        <f t="shared" si="44"/>
        <v>0</v>
      </c>
      <c r="CR39" s="12">
        <f t="shared" si="44"/>
        <v>0</v>
      </c>
      <c r="CS39" s="12">
        <f t="shared" si="44"/>
        <v>0</v>
      </c>
    </row>
    <row r="40" spans="1:97" x14ac:dyDescent="0.3">
      <c r="A40" s="3"/>
    </row>
    <row r="41" spans="1:97" x14ac:dyDescent="0.3">
      <c r="A41" s="5" t="s">
        <v>61</v>
      </c>
      <c r="B41" s="13">
        <v>190825.27999999997</v>
      </c>
      <c r="C41" s="13">
        <v>182411.94</v>
      </c>
      <c r="D41" s="13">
        <v>174068.38</v>
      </c>
      <c r="E41" s="13">
        <v>168452.29000000004</v>
      </c>
      <c r="F41" s="13">
        <v>181357.58999999997</v>
      </c>
      <c r="G41" s="13">
        <v>190135.49000000005</v>
      </c>
      <c r="H41" s="13">
        <v>187873.93</v>
      </c>
      <c r="I41" s="13">
        <v>184265.23000000004</v>
      </c>
      <c r="J41" s="13">
        <v>192422.41000000003</v>
      </c>
      <c r="K41" s="13">
        <v>189825.11</v>
      </c>
      <c r="L41" s="13">
        <v>197704.54000000004</v>
      </c>
      <c r="M41" s="13">
        <v>127473.36999999997</v>
      </c>
      <c r="N41" s="13">
        <v>184237.95999999996</v>
      </c>
      <c r="O41" s="13">
        <v>183849.56</v>
      </c>
      <c r="P41" s="13">
        <v>186512.94</v>
      </c>
      <c r="Q41" s="13">
        <v>188562.32</v>
      </c>
      <c r="R41" s="13">
        <v>172930.32999999996</v>
      </c>
      <c r="S41" s="13">
        <v>169214.08999999997</v>
      </c>
      <c r="T41" s="13">
        <v>173905.80999999994</v>
      </c>
      <c r="U41" s="13">
        <v>175644.63999999996</v>
      </c>
      <c r="V41" s="13">
        <v>203529.05</v>
      </c>
      <c r="W41" s="13">
        <v>212561.73000000004</v>
      </c>
      <c r="X41" s="13">
        <v>209878.24000000005</v>
      </c>
      <c r="Y41" s="13">
        <v>223301.73</v>
      </c>
      <c r="Z41" s="13">
        <v>178004.83000000002</v>
      </c>
      <c r="AA41" s="13">
        <v>181973.56000000006</v>
      </c>
      <c r="AB41" s="13">
        <v>184673.16999999998</v>
      </c>
      <c r="AC41" s="13">
        <v>179072.77999999997</v>
      </c>
      <c r="AD41" s="13">
        <v>188258.82</v>
      </c>
      <c r="AE41" s="13">
        <v>187800.86</v>
      </c>
      <c r="AF41" s="13">
        <v>181108.86</v>
      </c>
      <c r="AG41" s="13">
        <v>180619.90999999997</v>
      </c>
      <c r="AH41" s="13">
        <v>181052.51</v>
      </c>
      <c r="AI41" s="13">
        <v>184444.63</v>
      </c>
      <c r="AJ41" s="13">
        <v>192022.76</v>
      </c>
      <c r="AK41" s="13">
        <v>186423.32</v>
      </c>
      <c r="AL41" s="13">
        <v>155875.26</v>
      </c>
      <c r="AM41" s="13">
        <v>160218.16999999998</v>
      </c>
      <c r="AN41" s="13">
        <v>160728.98000000004</v>
      </c>
      <c r="AO41" s="13">
        <v>166040.69999999995</v>
      </c>
      <c r="AP41" s="13">
        <v>170584.83999999997</v>
      </c>
      <c r="AQ41" s="13">
        <v>173999.39999999997</v>
      </c>
      <c r="AR41" s="13">
        <v>160974.28999999998</v>
      </c>
      <c r="AS41" s="13">
        <v>164546.25</v>
      </c>
      <c r="AT41" s="13">
        <v>145950.16999999998</v>
      </c>
      <c r="AU41" s="13">
        <v>170972.05</v>
      </c>
      <c r="AV41" s="13">
        <v>162923.58000000002</v>
      </c>
      <c r="AW41" s="13">
        <v>179720.63</v>
      </c>
      <c r="AX41" s="13">
        <v>148164.02999999997</v>
      </c>
      <c r="AY41" s="13">
        <v>154499.87</v>
      </c>
      <c r="AZ41" s="13">
        <v>150028.84999999998</v>
      </c>
      <c r="BA41" s="13">
        <v>147971.01</v>
      </c>
      <c r="BB41" s="13">
        <v>161753.39000000001</v>
      </c>
      <c r="BC41" s="13">
        <v>150279.78000000003</v>
      </c>
      <c r="BD41" s="13">
        <v>153388.09000000003</v>
      </c>
      <c r="BE41" s="13">
        <v>140955.93</v>
      </c>
      <c r="BF41" s="13">
        <v>158478.64999999997</v>
      </c>
      <c r="BG41" s="13">
        <v>158823.22999999998</v>
      </c>
      <c r="BH41" s="13">
        <v>163241.13999999996</v>
      </c>
      <c r="BI41" s="13">
        <v>171058.5</v>
      </c>
      <c r="BJ41" s="13">
        <v>154141.19</v>
      </c>
      <c r="BK41" s="13">
        <v>152436.75999999995</v>
      </c>
      <c r="BL41" s="13">
        <v>157020.21000000002</v>
      </c>
      <c r="BM41" s="13">
        <v>161950.47000000003</v>
      </c>
      <c r="BN41" s="13">
        <v>163338.20000000001</v>
      </c>
      <c r="BO41" s="13">
        <v>167967.75</v>
      </c>
      <c r="BP41" s="13">
        <v>175650.33000000002</v>
      </c>
      <c r="BQ41" s="13">
        <v>169014.99</v>
      </c>
      <c r="BR41" s="13">
        <v>169143.28999999998</v>
      </c>
      <c r="BS41" s="13">
        <v>166159.67999999999</v>
      </c>
      <c r="BT41" s="13">
        <v>160192.26</v>
      </c>
      <c r="BU41" s="13">
        <v>172948.76999999996</v>
      </c>
      <c r="BV41" s="13">
        <v>178806.15000000002</v>
      </c>
      <c r="BW41" s="13">
        <v>179576.22999999998</v>
      </c>
      <c r="BX41" s="13">
        <v>179774.12</v>
      </c>
      <c r="BY41" s="13">
        <v>185342.3</v>
      </c>
      <c r="BZ41" s="13">
        <v>187994.22999999998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177373.65899999999</v>
      </c>
      <c r="CI41" s="13">
        <v>177373.65899999999</v>
      </c>
      <c r="CJ41" s="13">
        <v>177373.65899999999</v>
      </c>
      <c r="CK41" s="13">
        <v>177373.65899999999</v>
      </c>
      <c r="CL41" s="13">
        <v>177373.65899999999</v>
      </c>
      <c r="CM41" s="13">
        <v>177373.65899999999</v>
      </c>
      <c r="CN41" s="13">
        <v>177373.65899999999</v>
      </c>
      <c r="CO41" s="13">
        <v>177373.65899999999</v>
      </c>
      <c r="CP41" s="13">
        <v>177373.65899999999</v>
      </c>
      <c r="CQ41" s="13">
        <v>177373.65899999999</v>
      </c>
      <c r="CR41" s="13">
        <v>177373.65899999999</v>
      </c>
      <c r="CS41" s="13">
        <v>177373.65899999999</v>
      </c>
    </row>
    <row r="42" spans="1:97" x14ac:dyDescent="0.3">
      <c r="A42" s="5"/>
    </row>
    <row r="43" spans="1:97" x14ac:dyDescent="0.3">
      <c r="A43" s="3" t="s">
        <v>13</v>
      </c>
      <c r="B43" s="21">
        <v>50919.969999999987</v>
      </c>
      <c r="C43" s="21">
        <v>47198.140000000014</v>
      </c>
      <c r="D43" s="21">
        <v>43277.160000000018</v>
      </c>
      <c r="E43" s="21">
        <v>44585.000000000015</v>
      </c>
      <c r="F43" s="21">
        <v>52690.780000000013</v>
      </c>
      <c r="G43" s="21">
        <v>51057.890000000014</v>
      </c>
      <c r="H43" s="21">
        <v>47453.989999999991</v>
      </c>
      <c r="I43" s="21">
        <v>48549.75</v>
      </c>
      <c r="J43" s="21">
        <v>34016.03</v>
      </c>
      <c r="K43" s="21">
        <v>35859.94</v>
      </c>
      <c r="L43" s="21">
        <v>29863.829999999987</v>
      </c>
      <c r="M43" s="21">
        <v>32619.940000000002</v>
      </c>
      <c r="N43" s="21">
        <v>98318.989999999991</v>
      </c>
      <c r="O43" s="21">
        <v>78587.62</v>
      </c>
      <c r="P43" s="21">
        <v>77721.040000000008</v>
      </c>
      <c r="Q43" s="21">
        <v>75663.8</v>
      </c>
      <c r="R43" s="21">
        <v>75199.199999999997</v>
      </c>
      <c r="S43" s="21">
        <v>74870.540000000008</v>
      </c>
      <c r="T43" s="21">
        <v>76096.209999999992</v>
      </c>
      <c r="U43" s="21">
        <v>74488.03</v>
      </c>
      <c r="V43" s="21">
        <v>75711.38</v>
      </c>
      <c r="W43" s="21">
        <v>76020.820000000007</v>
      </c>
      <c r="X43" s="21">
        <v>75489.290000000008</v>
      </c>
      <c r="Y43" s="21">
        <v>73681.009999999995</v>
      </c>
      <c r="Z43" s="21">
        <v>74849.510000000009</v>
      </c>
      <c r="AA43" s="21">
        <v>75037.26999999999</v>
      </c>
      <c r="AB43" s="21">
        <v>74078.209999999992</v>
      </c>
      <c r="AC43" s="21">
        <v>79029.39</v>
      </c>
      <c r="AD43" s="21">
        <v>77955.48</v>
      </c>
      <c r="AE43" s="21">
        <v>77933.23</v>
      </c>
      <c r="AF43" s="21">
        <v>78428.290000000008</v>
      </c>
      <c r="AG43" s="21">
        <v>78726.38</v>
      </c>
      <c r="AH43" s="21">
        <v>78550.149999999994</v>
      </c>
      <c r="AI43" s="21">
        <v>79054.92</v>
      </c>
      <c r="AJ43" s="21">
        <v>78103.5</v>
      </c>
      <c r="AK43" s="21">
        <v>81632.899999999994</v>
      </c>
      <c r="AL43" s="21">
        <v>91339.13</v>
      </c>
      <c r="AM43" s="21">
        <v>91497.279999999999</v>
      </c>
      <c r="AN43" s="21">
        <v>91207.95</v>
      </c>
      <c r="AO43" s="21">
        <v>92697.19</v>
      </c>
      <c r="AP43" s="21">
        <v>88037.38</v>
      </c>
      <c r="AQ43" s="21">
        <v>87924.03</v>
      </c>
      <c r="AR43" s="21">
        <v>89400.260000000009</v>
      </c>
      <c r="AS43" s="21">
        <v>87839</v>
      </c>
      <c r="AT43" s="21">
        <v>87333.36</v>
      </c>
      <c r="AU43" s="21">
        <v>82749.739999999991</v>
      </c>
      <c r="AV43" s="21">
        <v>87143.419999999984</v>
      </c>
      <c r="AW43" s="21">
        <v>82096.200000000012</v>
      </c>
      <c r="AX43" s="21">
        <v>70344.31</v>
      </c>
      <c r="AY43" s="21">
        <v>70868.62999999999</v>
      </c>
      <c r="AZ43" s="21">
        <v>74106.87</v>
      </c>
      <c r="BA43" s="21">
        <v>71020.19</v>
      </c>
      <c r="BB43" s="21">
        <v>71250</v>
      </c>
      <c r="BC43" s="21">
        <v>72513.799999999988</v>
      </c>
      <c r="BD43" s="21">
        <v>72620.959999999992</v>
      </c>
      <c r="BE43" s="21">
        <v>72481.37999999999</v>
      </c>
      <c r="BF43" s="21">
        <v>75252.97</v>
      </c>
      <c r="BG43" s="21">
        <v>74337.279999999999</v>
      </c>
      <c r="BH43" s="21">
        <v>72591.92</v>
      </c>
      <c r="BI43" s="21">
        <v>73052.319999999992</v>
      </c>
      <c r="BJ43" s="21">
        <v>109160.06999999999</v>
      </c>
      <c r="BK43" s="21">
        <v>122859.6</v>
      </c>
      <c r="BL43" s="21">
        <v>99813.66</v>
      </c>
      <c r="BM43" s="21">
        <v>112353.79</v>
      </c>
      <c r="BN43" s="21">
        <v>114014.87</v>
      </c>
      <c r="BO43" s="21">
        <v>110445.78000000001</v>
      </c>
      <c r="BP43" s="21">
        <v>111500.94</v>
      </c>
      <c r="BQ43" s="21">
        <v>111561.39</v>
      </c>
      <c r="BR43" s="21">
        <v>111181.78000000001</v>
      </c>
      <c r="BS43" s="21">
        <v>115013</v>
      </c>
      <c r="BT43" s="21">
        <v>110628.13</v>
      </c>
      <c r="BU43" s="21">
        <v>96333.790000000008</v>
      </c>
      <c r="BV43" s="21">
        <v>79486.600000000006</v>
      </c>
      <c r="BW43" s="21">
        <v>79744.09</v>
      </c>
      <c r="BX43" s="21">
        <v>81353.09</v>
      </c>
      <c r="BY43" s="21">
        <v>81063.63</v>
      </c>
      <c r="BZ43" s="21">
        <v>69392.75</v>
      </c>
      <c r="CA43" s="21">
        <v>0</v>
      </c>
      <c r="CB43" s="21">
        <v>0</v>
      </c>
      <c r="CC43" s="21">
        <v>0</v>
      </c>
      <c r="CD43" s="21">
        <v>0</v>
      </c>
      <c r="CE43" s="21">
        <v>0</v>
      </c>
      <c r="CF43" s="21">
        <v>0</v>
      </c>
      <c r="CG43" s="21">
        <v>0</v>
      </c>
      <c r="CH43" s="21">
        <v>110537.36820805944</v>
      </c>
      <c r="CI43" s="21">
        <v>114288.31831951987</v>
      </c>
      <c r="CJ43" s="21">
        <v>124550.35164332666</v>
      </c>
      <c r="CK43" s="21">
        <v>130707.57163761074</v>
      </c>
      <c r="CL43" s="21">
        <v>133326.15945127179</v>
      </c>
      <c r="CM43" s="21">
        <v>133326.15945127179</v>
      </c>
      <c r="CN43" s="21">
        <v>133609.25002572162</v>
      </c>
      <c r="CO43" s="21">
        <v>132547.6603715347</v>
      </c>
      <c r="CP43" s="21">
        <v>126815.07623892541</v>
      </c>
      <c r="CQ43" s="21">
        <v>123134.89877107745</v>
      </c>
      <c r="CR43" s="21">
        <v>116411.4976278937</v>
      </c>
      <c r="CS43" s="21">
        <v>115349.90797370678</v>
      </c>
    </row>
    <row r="44" spans="1:97" x14ac:dyDescent="0.3">
      <c r="A44" s="3" t="s">
        <v>14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</row>
    <row r="45" spans="1:97" x14ac:dyDescent="0.3">
      <c r="A45" s="3" t="s">
        <v>15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</row>
    <row r="46" spans="1:97" x14ac:dyDescent="0.3">
      <c r="A46" s="3"/>
    </row>
    <row r="47" spans="1:97" x14ac:dyDescent="0.3">
      <c r="A47" s="5" t="s">
        <v>59</v>
      </c>
      <c r="B47" s="7">
        <f t="shared" ref="B47:BM47" si="45">B43+B44+B45</f>
        <v>50919.969999999987</v>
      </c>
      <c r="C47" s="7">
        <f t="shared" si="45"/>
        <v>47198.140000000014</v>
      </c>
      <c r="D47" s="7">
        <f t="shared" si="45"/>
        <v>43277.160000000018</v>
      </c>
      <c r="E47" s="7">
        <f t="shared" si="45"/>
        <v>44585.000000000015</v>
      </c>
      <c r="F47" s="7">
        <f t="shared" si="45"/>
        <v>52690.780000000013</v>
      </c>
      <c r="G47" s="7">
        <f t="shared" si="45"/>
        <v>51057.890000000014</v>
      </c>
      <c r="H47" s="7">
        <f t="shared" si="45"/>
        <v>47453.989999999991</v>
      </c>
      <c r="I47" s="7">
        <f t="shared" si="45"/>
        <v>48549.75</v>
      </c>
      <c r="J47" s="7">
        <f t="shared" si="45"/>
        <v>34016.03</v>
      </c>
      <c r="K47" s="7">
        <f t="shared" si="45"/>
        <v>35859.94</v>
      </c>
      <c r="L47" s="7">
        <f t="shared" si="45"/>
        <v>29863.829999999987</v>
      </c>
      <c r="M47" s="7">
        <f t="shared" si="45"/>
        <v>32619.940000000002</v>
      </c>
      <c r="N47" s="7">
        <f t="shared" si="45"/>
        <v>98318.989999999991</v>
      </c>
      <c r="O47" s="7">
        <f t="shared" si="45"/>
        <v>78587.62</v>
      </c>
      <c r="P47" s="7">
        <f t="shared" si="45"/>
        <v>77721.040000000008</v>
      </c>
      <c r="Q47" s="7">
        <f t="shared" si="45"/>
        <v>75663.8</v>
      </c>
      <c r="R47" s="7">
        <f t="shared" si="45"/>
        <v>75199.199999999997</v>
      </c>
      <c r="S47" s="7">
        <f t="shared" si="45"/>
        <v>74870.540000000008</v>
      </c>
      <c r="T47" s="7">
        <f t="shared" si="45"/>
        <v>76096.209999999992</v>
      </c>
      <c r="U47" s="7">
        <f t="shared" si="45"/>
        <v>74488.03</v>
      </c>
      <c r="V47" s="7">
        <f t="shared" si="45"/>
        <v>75711.38</v>
      </c>
      <c r="W47" s="7">
        <f t="shared" si="45"/>
        <v>76020.820000000007</v>
      </c>
      <c r="X47" s="7">
        <f t="shared" si="45"/>
        <v>75489.290000000008</v>
      </c>
      <c r="Y47" s="7">
        <f t="shared" si="45"/>
        <v>73681.009999999995</v>
      </c>
      <c r="Z47" s="7">
        <f t="shared" si="45"/>
        <v>74849.510000000009</v>
      </c>
      <c r="AA47" s="7">
        <f t="shared" si="45"/>
        <v>75037.26999999999</v>
      </c>
      <c r="AB47" s="7">
        <f t="shared" si="45"/>
        <v>74078.209999999992</v>
      </c>
      <c r="AC47" s="7">
        <f t="shared" si="45"/>
        <v>79029.39</v>
      </c>
      <c r="AD47" s="7">
        <f t="shared" si="45"/>
        <v>77955.48</v>
      </c>
      <c r="AE47" s="7">
        <f t="shared" si="45"/>
        <v>77933.23</v>
      </c>
      <c r="AF47" s="7">
        <f t="shared" si="45"/>
        <v>78428.290000000008</v>
      </c>
      <c r="AG47" s="7">
        <f t="shared" si="45"/>
        <v>78726.38</v>
      </c>
      <c r="AH47" s="7">
        <f t="shared" si="45"/>
        <v>78550.149999999994</v>
      </c>
      <c r="AI47" s="7">
        <f t="shared" si="45"/>
        <v>79054.92</v>
      </c>
      <c r="AJ47" s="7">
        <f t="shared" si="45"/>
        <v>78103.5</v>
      </c>
      <c r="AK47" s="7">
        <f t="shared" si="45"/>
        <v>81632.899999999994</v>
      </c>
      <c r="AL47" s="7">
        <f t="shared" si="45"/>
        <v>91339.13</v>
      </c>
      <c r="AM47" s="7">
        <f t="shared" si="45"/>
        <v>91497.279999999999</v>
      </c>
      <c r="AN47" s="7">
        <f t="shared" si="45"/>
        <v>91207.95</v>
      </c>
      <c r="AO47" s="7">
        <f t="shared" si="45"/>
        <v>92697.19</v>
      </c>
      <c r="AP47" s="7">
        <f t="shared" si="45"/>
        <v>88037.38</v>
      </c>
      <c r="AQ47" s="7">
        <f t="shared" si="45"/>
        <v>87924.03</v>
      </c>
      <c r="AR47" s="7">
        <f t="shared" si="45"/>
        <v>89400.260000000009</v>
      </c>
      <c r="AS47" s="7">
        <f t="shared" si="45"/>
        <v>87839</v>
      </c>
      <c r="AT47" s="7">
        <f t="shared" si="45"/>
        <v>87333.36</v>
      </c>
      <c r="AU47" s="7">
        <f t="shared" si="45"/>
        <v>82749.739999999991</v>
      </c>
      <c r="AV47" s="7">
        <f t="shared" si="45"/>
        <v>87143.419999999984</v>
      </c>
      <c r="AW47" s="7">
        <f t="shared" si="45"/>
        <v>82096.200000000012</v>
      </c>
      <c r="AX47" s="7">
        <f t="shared" si="45"/>
        <v>70344.31</v>
      </c>
      <c r="AY47" s="7">
        <f t="shared" si="45"/>
        <v>70868.62999999999</v>
      </c>
      <c r="AZ47" s="7">
        <f t="shared" si="45"/>
        <v>74106.87</v>
      </c>
      <c r="BA47" s="7">
        <f t="shared" si="45"/>
        <v>71020.19</v>
      </c>
      <c r="BB47" s="7">
        <f t="shared" si="45"/>
        <v>71250</v>
      </c>
      <c r="BC47" s="7">
        <f t="shared" si="45"/>
        <v>72513.799999999988</v>
      </c>
      <c r="BD47" s="7">
        <f t="shared" si="45"/>
        <v>72620.959999999992</v>
      </c>
      <c r="BE47" s="7">
        <f t="shared" si="45"/>
        <v>72481.37999999999</v>
      </c>
      <c r="BF47" s="7">
        <f t="shared" si="45"/>
        <v>75252.97</v>
      </c>
      <c r="BG47" s="7">
        <f t="shared" si="45"/>
        <v>74337.279999999999</v>
      </c>
      <c r="BH47" s="7">
        <f t="shared" si="45"/>
        <v>72591.92</v>
      </c>
      <c r="BI47" s="7">
        <f t="shared" si="45"/>
        <v>73052.319999999992</v>
      </c>
      <c r="BJ47" s="7">
        <f t="shared" si="45"/>
        <v>109160.06999999999</v>
      </c>
      <c r="BK47" s="7">
        <f t="shared" si="45"/>
        <v>122859.6</v>
      </c>
      <c r="BL47" s="7">
        <f t="shared" si="45"/>
        <v>99813.66</v>
      </c>
      <c r="BM47" s="7">
        <f t="shared" si="45"/>
        <v>112353.79</v>
      </c>
      <c r="BN47" s="7">
        <f t="shared" ref="BN47:BU47" si="46">BN43+BN44+BN45</f>
        <v>114014.87</v>
      </c>
      <c r="BO47" s="7">
        <f t="shared" si="46"/>
        <v>110445.78000000001</v>
      </c>
      <c r="BP47" s="7">
        <f t="shared" si="46"/>
        <v>111500.94</v>
      </c>
      <c r="BQ47" s="7">
        <f t="shared" si="46"/>
        <v>111561.39</v>
      </c>
      <c r="BR47" s="7">
        <f t="shared" si="46"/>
        <v>111181.78000000001</v>
      </c>
      <c r="BS47" s="7">
        <f t="shared" si="46"/>
        <v>115013</v>
      </c>
      <c r="BT47" s="7">
        <f t="shared" si="46"/>
        <v>110628.13</v>
      </c>
      <c r="BU47" s="7">
        <f t="shared" si="46"/>
        <v>96333.790000000008</v>
      </c>
      <c r="BV47" s="7">
        <f>BV43+BV44+BV45</f>
        <v>79486.600000000006</v>
      </c>
      <c r="BW47" s="7">
        <f t="shared" ref="BW47:CG47" si="47">BW43+BW44+BW45</f>
        <v>79744.09</v>
      </c>
      <c r="BX47" s="7">
        <f t="shared" si="47"/>
        <v>81353.09</v>
      </c>
      <c r="BY47" s="7">
        <f t="shared" si="47"/>
        <v>81063.63</v>
      </c>
      <c r="BZ47" s="7">
        <f t="shared" si="47"/>
        <v>69392.75</v>
      </c>
      <c r="CA47" s="7">
        <f t="shared" si="47"/>
        <v>0</v>
      </c>
      <c r="CB47" s="7">
        <f t="shared" si="47"/>
        <v>0</v>
      </c>
      <c r="CC47" s="7">
        <f t="shared" si="47"/>
        <v>0</v>
      </c>
      <c r="CD47" s="7">
        <f t="shared" si="47"/>
        <v>0</v>
      </c>
      <c r="CE47" s="7">
        <f t="shared" si="47"/>
        <v>0</v>
      </c>
      <c r="CF47" s="7">
        <f t="shared" si="47"/>
        <v>0</v>
      </c>
      <c r="CG47" s="7">
        <f t="shared" si="47"/>
        <v>0</v>
      </c>
      <c r="CH47" s="7">
        <f>CH43+CH44+CH45</f>
        <v>110537.36820805944</v>
      </c>
      <c r="CI47" s="7">
        <f t="shared" ref="CI47:CS47" si="48">CI43+CI44+CI45</f>
        <v>114288.31831951987</v>
      </c>
      <c r="CJ47" s="7">
        <f t="shared" si="48"/>
        <v>124550.35164332666</v>
      </c>
      <c r="CK47" s="7">
        <f t="shared" si="48"/>
        <v>130707.57163761074</v>
      </c>
      <c r="CL47" s="7">
        <f t="shared" si="48"/>
        <v>133326.15945127179</v>
      </c>
      <c r="CM47" s="7">
        <f t="shared" si="48"/>
        <v>133326.15945127179</v>
      </c>
      <c r="CN47" s="7">
        <f t="shared" si="48"/>
        <v>133609.25002572162</v>
      </c>
      <c r="CO47" s="7">
        <f t="shared" si="48"/>
        <v>132547.6603715347</v>
      </c>
      <c r="CP47" s="7">
        <f t="shared" si="48"/>
        <v>126815.07623892541</v>
      </c>
      <c r="CQ47" s="7">
        <f t="shared" si="48"/>
        <v>123134.89877107745</v>
      </c>
      <c r="CR47" s="7">
        <f t="shared" si="48"/>
        <v>116411.4976278937</v>
      </c>
      <c r="CS47" s="7">
        <f t="shared" si="48"/>
        <v>115349.90797370678</v>
      </c>
    </row>
    <row r="48" spans="1:97" x14ac:dyDescent="0.3">
      <c r="A48" s="3"/>
    </row>
    <row r="49" spans="1:97" x14ac:dyDescent="0.3">
      <c r="A49" s="3" t="s">
        <v>40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74429</v>
      </c>
      <c r="L49" s="10">
        <v>74429</v>
      </c>
      <c r="M49" s="10">
        <v>26192.740000006521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13079.21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</row>
    <row r="50" spans="1:97" x14ac:dyDescent="0.3">
      <c r="A50" s="3" t="s">
        <v>16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339967.3162843156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45703.279925940267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116256.94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257450.77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148676.20000000001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120651.51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</row>
    <row r="51" spans="1:97" x14ac:dyDescent="0.3">
      <c r="A51" s="3" t="s">
        <v>17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-41371.42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-19246.5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-225000</v>
      </c>
      <c r="AX51" s="10">
        <v>0</v>
      </c>
      <c r="AY51" s="10">
        <v>0</v>
      </c>
      <c r="AZ51" s="10">
        <v>-27795.599999999999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</row>
    <row r="52" spans="1:97" x14ac:dyDescent="0.3">
      <c r="A52" s="3" t="s">
        <v>60</v>
      </c>
      <c r="B52" s="10">
        <v>53179</v>
      </c>
      <c r="C52" s="10">
        <v>75561</v>
      </c>
      <c r="D52" s="10">
        <v>38662</v>
      </c>
      <c r="E52" s="10">
        <v>59888</v>
      </c>
      <c r="F52" s="10">
        <v>65057</v>
      </c>
      <c r="G52" s="10">
        <v>94926</v>
      </c>
      <c r="H52" s="10">
        <v>56794.87</v>
      </c>
      <c r="I52" s="10">
        <v>83107.47</v>
      </c>
      <c r="J52" s="10">
        <v>83457.14</v>
      </c>
      <c r="K52" s="10">
        <v>61625.08</v>
      </c>
      <c r="L52" s="10">
        <v>61072.65</v>
      </c>
      <c r="M52" s="10">
        <v>24524.19</v>
      </c>
      <c r="N52" s="10">
        <v>33285.68</v>
      </c>
      <c r="O52" s="10">
        <v>68633.55</v>
      </c>
      <c r="P52" s="10">
        <v>46679.71</v>
      </c>
      <c r="Q52" s="10">
        <v>49139.17</v>
      </c>
      <c r="R52" s="10">
        <v>73730.179999999993</v>
      </c>
      <c r="S52" s="10">
        <v>113630.57</v>
      </c>
      <c r="T52" s="10">
        <v>82394.78</v>
      </c>
      <c r="U52" s="10">
        <v>69889.73</v>
      </c>
      <c r="V52" s="10">
        <v>70146.48</v>
      </c>
      <c r="W52" s="10">
        <v>83141.95</v>
      </c>
      <c r="X52" s="10">
        <v>87828.12</v>
      </c>
      <c r="Y52" s="10">
        <v>170965.9</v>
      </c>
      <c r="Z52" s="10">
        <v>145372.70000000001</v>
      </c>
      <c r="AA52" s="10">
        <v>80290.45</v>
      </c>
      <c r="AB52" s="10">
        <v>24937.040000000001</v>
      </c>
      <c r="AC52" s="10">
        <v>122197.87</v>
      </c>
      <c r="AD52" s="10">
        <v>149191.34</v>
      </c>
      <c r="AE52" s="10">
        <v>53741.99</v>
      </c>
      <c r="AF52" s="10">
        <v>23918.01</v>
      </c>
      <c r="AG52" s="10">
        <v>37051.089999999997</v>
      </c>
      <c r="AH52" s="10">
        <v>68840.479999999996</v>
      </c>
      <c r="AI52" s="10">
        <v>142346.16</v>
      </c>
      <c r="AJ52" s="10">
        <v>111780.99</v>
      </c>
      <c r="AK52" s="10">
        <v>85548.58</v>
      </c>
      <c r="AL52" s="10">
        <v>122671.25</v>
      </c>
      <c r="AM52" s="10">
        <v>65234.51</v>
      </c>
      <c r="AN52" s="10">
        <v>108993.92</v>
      </c>
      <c r="AO52" s="10">
        <v>94179.81</v>
      </c>
      <c r="AP52" s="10">
        <v>90284.11</v>
      </c>
      <c r="AQ52" s="10">
        <v>154781.12</v>
      </c>
      <c r="AR52" s="10">
        <v>22829.61</v>
      </c>
      <c r="AS52" s="10">
        <v>80616.66</v>
      </c>
      <c r="AT52" s="10">
        <v>55745.17</v>
      </c>
      <c r="AU52" s="10">
        <v>74849.63</v>
      </c>
      <c r="AV52" s="10">
        <v>148034.32999999999</v>
      </c>
      <c r="AW52" s="10">
        <v>178985.46</v>
      </c>
      <c r="AX52" s="10">
        <v>185994.43</v>
      </c>
      <c r="AY52" s="10">
        <v>130852.99</v>
      </c>
      <c r="AZ52" s="10">
        <v>103474.73</v>
      </c>
      <c r="BA52" s="10">
        <v>167508.20000000001</v>
      </c>
      <c r="BB52" s="10">
        <v>147027.91</v>
      </c>
      <c r="BC52" s="10">
        <v>201918.26</v>
      </c>
      <c r="BD52" s="10">
        <v>126975.08</v>
      </c>
      <c r="BE52" s="10">
        <v>128546.1</v>
      </c>
      <c r="BF52" s="10">
        <v>182742.47</v>
      </c>
      <c r="BG52" s="10">
        <v>109526.04</v>
      </c>
      <c r="BH52" s="10">
        <v>102992.01</v>
      </c>
      <c r="BI52" s="10">
        <v>186238.51</v>
      </c>
      <c r="BJ52" s="10">
        <v>86013.66</v>
      </c>
      <c r="BK52" s="10">
        <v>90119.24</v>
      </c>
      <c r="BL52" s="10">
        <v>38214.74</v>
      </c>
      <c r="BM52" s="10">
        <v>84932.87</v>
      </c>
      <c r="BN52" s="10">
        <v>62714.6</v>
      </c>
      <c r="BO52" s="10">
        <v>97913.12</v>
      </c>
      <c r="BP52" s="10">
        <v>37056.67</v>
      </c>
      <c r="BQ52" s="10">
        <v>51305.75</v>
      </c>
      <c r="BR52" s="10">
        <v>93026.17</v>
      </c>
      <c r="BS52" s="10">
        <v>64086.79</v>
      </c>
      <c r="BT52" s="10">
        <v>79468.649999999994</v>
      </c>
      <c r="BU52" s="10">
        <v>111076.2</v>
      </c>
      <c r="BV52" s="10">
        <v>70839.11</v>
      </c>
      <c r="BW52" s="10">
        <v>83497.56</v>
      </c>
      <c r="BX52" s="10">
        <v>81528.02</v>
      </c>
      <c r="BY52" s="10">
        <v>97497.62</v>
      </c>
      <c r="BZ52" s="10">
        <v>88739.82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70538.361000000004</v>
      </c>
      <c r="CI52" s="10">
        <v>70538.361000000004</v>
      </c>
      <c r="CJ52" s="10">
        <v>70538.361000000004</v>
      </c>
      <c r="CK52" s="10">
        <v>70538.361000000004</v>
      </c>
      <c r="CL52" s="10">
        <v>70538.361000000004</v>
      </c>
      <c r="CM52" s="10">
        <v>70538.361000000004</v>
      </c>
      <c r="CN52" s="10">
        <v>70538.361000000004</v>
      </c>
      <c r="CO52" s="10">
        <v>70538.361000000004</v>
      </c>
      <c r="CP52" s="10">
        <v>70538.361000000004</v>
      </c>
      <c r="CQ52" s="10">
        <v>70538.361000000004</v>
      </c>
      <c r="CR52" s="10">
        <v>70538.361000000004</v>
      </c>
      <c r="CS52" s="10">
        <v>70538.361000000004</v>
      </c>
    </row>
    <row r="53" spans="1:97" x14ac:dyDescent="0.3">
      <c r="A53" s="5" t="s">
        <v>19</v>
      </c>
      <c r="B53" s="11">
        <f t="shared" ref="B53" si="49">B51+B50+B49+B47+B41+B33+B32+B52</f>
        <v>681621.67999999993</v>
      </c>
      <c r="C53" s="11">
        <f t="shared" ref="C53" si="50">C51+C50+C49+C47+C41+C33+C32+C52</f>
        <v>721446.19</v>
      </c>
      <c r="D53" s="11">
        <f t="shared" ref="D53" si="51">D51+D50+D49+D47+D41+D33+D32+D52</f>
        <v>811401.15</v>
      </c>
      <c r="E53" s="11">
        <f t="shared" ref="E53" si="52">E51+E50+E49+E47+E41+E33+E32+E52</f>
        <v>818798.8</v>
      </c>
      <c r="F53" s="11">
        <f t="shared" ref="F53" si="53">F51+F50+F49+F47+F41+F33+F32+F52</f>
        <v>926659.01</v>
      </c>
      <c r="G53" s="11">
        <f t="shared" ref="G53" si="54">G51+G50+G49+G47+G41+G33+G32+G52</f>
        <v>783504.60000000009</v>
      </c>
      <c r="H53" s="11">
        <f t="shared" ref="H53" si="55">H51+H50+H49+H47+H41+H33+H32+H52</f>
        <v>887102.58</v>
      </c>
      <c r="I53" s="11">
        <f t="shared" ref="I53" si="56">I51+I50+I49+I47+I41+I33+I32+I52</f>
        <v>865901.97000000009</v>
      </c>
      <c r="J53" s="11">
        <f t="shared" ref="J53" si="57">J51+J50+J49+J47+J41+J33+J32+J52</f>
        <v>923240.25</v>
      </c>
      <c r="K53" s="11">
        <f t="shared" ref="K53" si="58">K51+K50+K49+K47+K41+K33+K32+K52</f>
        <v>801736.2</v>
      </c>
      <c r="L53" s="11">
        <f t="shared" ref="L53" si="59">L51+L50+L49+L47+L41+L33+L32+L52</f>
        <v>783871.66</v>
      </c>
      <c r="M53" s="11">
        <f t="shared" ref="M53" si="60">M51+M50+M49+M47+M41+M33+M32+M52</f>
        <v>1111472.9562843221</v>
      </c>
      <c r="N53" s="11">
        <f t="shared" ref="N53" si="61">N51+N50+N49+N47+N41+N33+N32+N52</f>
        <v>782906.78</v>
      </c>
      <c r="O53" s="11">
        <f t="shared" ref="O53" si="62">O51+O50+O49+O47+O41+O33+O32+O52</f>
        <v>763972.63</v>
      </c>
      <c r="P53" s="11">
        <f t="shared" ref="P53" si="63">P51+P50+P49+P47+P41+P33+P32+P52</f>
        <v>799006.42</v>
      </c>
      <c r="Q53" s="11">
        <f t="shared" ref="Q53" si="64">Q51+Q50+Q49+Q47+Q41+Q33+Q32+Q52</f>
        <v>721850.17</v>
      </c>
      <c r="R53" s="11">
        <f t="shared" ref="R53" si="65">R51+R50+R49+R47+R41+R33+R32+R52</f>
        <v>665885.84999999986</v>
      </c>
      <c r="S53" s="11">
        <f t="shared" ref="S53" si="66">S51+S50+S49+S47+S41+S33+S32+S52</f>
        <v>690801.15999999992</v>
      </c>
      <c r="T53" s="11">
        <f t="shared" ref="T53" si="67">T51+T50+T49+T47+T41+T33+T32+T52</f>
        <v>637246.07999999996</v>
      </c>
      <c r="U53" s="11">
        <f t="shared" ref="U53" si="68">U51+U50+U49+U47+U41+U33+U32+U52</f>
        <v>622382.33999999985</v>
      </c>
      <c r="V53" s="11">
        <f t="shared" ref="V53" si="69">V51+V50+V49+V47+V41+V33+V32+V52</f>
        <v>662022.22</v>
      </c>
      <c r="W53" s="11">
        <f t="shared" ref="W53" si="70">W51+W50+W49+W47+W41+W33+W32+W52</f>
        <v>644197.55000000005</v>
      </c>
      <c r="X53" s="11">
        <f t="shared" ref="X53" si="71">X51+X50+X49+X47+X41+X33+X32+X52</f>
        <v>755590.6</v>
      </c>
      <c r="Y53" s="11">
        <f t="shared" ref="Y53" si="72">Y51+Y50+Y49+Y47+Y41+Y33+Y32+Y52</f>
        <v>814356.18992594024</v>
      </c>
      <c r="Z53" s="11">
        <f t="shared" ref="Z53" si="73">Z51+Z50+Z49+Z47+Z41+Z33+Z32+Z52</f>
        <v>722990.51</v>
      </c>
      <c r="AA53" s="11">
        <f t="shared" ref="AA53" si="74">AA51+AA50+AA49+AA47+AA41+AA33+AA32+AA52</f>
        <v>823406.83000000007</v>
      </c>
      <c r="AB53" s="11">
        <f t="shared" ref="AB53" si="75">AB51+AB50+AB49+AB47+AB41+AB33+AB32+AB52</f>
        <v>806680.53</v>
      </c>
      <c r="AC53" s="11">
        <f t="shared" ref="AC53" si="76">AC51+AC50+AC49+AC47+AC41+AC33+AC32+AC52</f>
        <v>758783.14999999991</v>
      </c>
      <c r="AD53" s="11">
        <f t="shared" ref="AD53" si="77">AD51+AD50+AD49+AD47+AD41+AD33+AD32+AD52</f>
        <v>824832.39</v>
      </c>
      <c r="AE53" s="11">
        <f t="shared" ref="AE53" si="78">AE51+AE50+AE49+AE47+AE41+AE33+AE32+AE52</f>
        <v>775793.03999999992</v>
      </c>
      <c r="AF53" s="11">
        <f t="shared" ref="AF53" si="79">AF51+AF50+AF49+AF47+AF41+AF33+AF32+AF52</f>
        <v>737545.58</v>
      </c>
      <c r="AG53" s="11">
        <f t="shared" ref="AG53" si="80">AG51+AG50+AG49+AG47+AG41+AG33+AG32+AG52</f>
        <v>737437.87</v>
      </c>
      <c r="AH53" s="11">
        <f t="shared" ref="AH53" si="81">AH51+AH50+AH49+AH47+AH41+AH33+AH32+AH52</f>
        <v>751422.49</v>
      </c>
      <c r="AI53" s="11">
        <f t="shared" ref="AI53" si="82">AI51+AI50+AI49+AI47+AI41+AI33+AI32+AI52</f>
        <v>933759.04</v>
      </c>
      <c r="AJ53" s="11">
        <f t="shared" ref="AJ53" si="83">AJ51+AJ50+AJ49+AJ47+AJ41+AJ33+AJ32+AJ52</f>
        <v>741294.24</v>
      </c>
      <c r="AK53" s="11">
        <f t="shared" ref="AK53" si="84">AK51+AK50+AK49+AK47+AK41+AK33+AK32+AK52</f>
        <v>893643.62</v>
      </c>
      <c r="AL53" s="11">
        <f t="shared" ref="AL53" si="85">AL51+AL50+AL49+AL47+AL41+AL33+AL32+AL52</f>
        <v>661699.22</v>
      </c>
      <c r="AM53" s="11">
        <f t="shared" ref="AM53" si="86">AM51+AM50+AM49+AM47+AM41+AM33+AM32+AM52</f>
        <v>834788.59000000008</v>
      </c>
      <c r="AN53" s="11">
        <f t="shared" ref="AN53" si="87">AN51+AN50+AN49+AN47+AN41+AN33+AN32+AN52</f>
        <v>791358.18</v>
      </c>
      <c r="AO53" s="11">
        <f t="shared" ref="AO53" si="88">AO51+AO50+AO49+AO47+AO41+AO33+AO32+AO52</f>
        <v>780903.03</v>
      </c>
      <c r="AP53" s="11">
        <f t="shared" ref="AP53" si="89">AP51+AP50+AP49+AP47+AP41+AP33+AP32+AP52</f>
        <v>767864.82</v>
      </c>
      <c r="AQ53" s="11">
        <f t="shared" ref="AQ53" si="90">AQ51+AQ50+AQ49+AQ47+AQ41+AQ33+AQ32+AQ52</f>
        <v>950911.36</v>
      </c>
      <c r="AR53" s="11">
        <f t="shared" ref="AR53" si="91">AR51+AR50+AR49+AR47+AR41+AR33+AR32+AR52</f>
        <v>679748.35</v>
      </c>
      <c r="AS53" s="11">
        <f t="shared" ref="AS53" si="92">AS51+AS50+AS49+AS47+AS41+AS33+AS32+AS52</f>
        <v>927799.00000000012</v>
      </c>
      <c r="AT53" s="11">
        <f t="shared" ref="AT53" si="93">AT51+AT50+AT49+AT47+AT41+AT33+AT32+AT52</f>
        <v>718774.33</v>
      </c>
      <c r="AU53" s="11">
        <f t="shared" ref="AU53" si="94">AU51+AU50+AU49+AU47+AU41+AU33+AU32+AU52</f>
        <v>806837.84</v>
      </c>
      <c r="AV53" s="11">
        <f t="shared" ref="AV53" si="95">AV51+AV50+AV49+AV47+AV41+AV33+AV32+AV52</f>
        <v>748469.38</v>
      </c>
      <c r="AW53" s="11">
        <f t="shared" ref="AW53" si="96">AW51+AW50+AW49+AW47+AW41+AW33+AW32+AW52</f>
        <v>852963.64999999991</v>
      </c>
      <c r="AX53" s="11">
        <f t="shared" ref="AX53" si="97">AX51+AX50+AX49+AX47+AX41+AX33+AX32+AX52</f>
        <v>693521.06</v>
      </c>
      <c r="AY53" s="11">
        <f t="shared" ref="AY53" si="98">AY51+AY50+AY49+AY47+AY41+AY33+AY32+AY52</f>
        <v>722106.32000000007</v>
      </c>
      <c r="AZ53" s="11">
        <f t="shared" ref="AZ53" si="99">AZ51+AZ50+AZ49+AZ47+AZ41+AZ33+AZ32+AZ52</f>
        <v>678064.53</v>
      </c>
      <c r="BA53" s="11">
        <f t="shared" ref="BA53" si="100">BA51+BA50+BA49+BA47+BA41+BA33+BA32+BA52</f>
        <v>743847.6399999999</v>
      </c>
      <c r="BB53" s="11">
        <f t="shared" ref="BB53" si="101">BB51+BB50+BB49+BB47+BB41+BB33+BB32+BB52</f>
        <v>763823.72000000009</v>
      </c>
      <c r="BC53" s="11">
        <f t="shared" ref="BC53" si="102">BC51+BC50+BC49+BC47+BC41+BC33+BC32+BC52</f>
        <v>773055.08000000007</v>
      </c>
      <c r="BD53" s="11">
        <f t="shared" ref="BD53" si="103">BD51+BD50+BD49+BD47+BD41+BD33+BD32+BD52</f>
        <v>761362.6</v>
      </c>
      <c r="BE53" s="11">
        <f t="shared" ref="BE53" si="104">BE51+BE50+BE49+BE47+BE41+BE33+BE32+BE52</f>
        <v>666581.35</v>
      </c>
      <c r="BF53" s="11">
        <f t="shared" ref="BF53" si="105">BF51+BF50+BF49+BF47+BF41+BF33+BF32+BF52</f>
        <v>700913.69</v>
      </c>
      <c r="BG53" s="11">
        <f t="shared" ref="BG53" si="106">BG51+BG50+BG49+BG47+BG41+BG33+BG32+BG52</f>
        <v>669333.03</v>
      </c>
      <c r="BH53" s="11">
        <f t="shared" ref="BH53" si="107">BH51+BH50+BH49+BH47+BH41+BH33+BH32+BH52</f>
        <v>615195.06999999995</v>
      </c>
      <c r="BI53" s="11">
        <f t="shared" ref="BI53" si="108">BI51+BI50+BI49+BI47+BI41+BI33+BI32+BI52</f>
        <v>782103.21</v>
      </c>
      <c r="BJ53" s="11">
        <f t="shared" ref="BJ53" si="109">BJ51+BJ50+BJ49+BJ47+BJ41+BJ33+BJ32+BJ52</f>
        <v>691087.18</v>
      </c>
      <c r="BK53" s="11">
        <f t="shared" ref="BK53" si="110">BK51+BK50+BK49+BK47+BK41+BK33+BK32+BK52</f>
        <v>737965.6</v>
      </c>
      <c r="BL53" s="11">
        <f t="shared" ref="BL53" si="111">BL51+BL50+BL49+BL47+BL41+BL33+BL32+BL52</f>
        <v>729879.1</v>
      </c>
      <c r="BM53" s="11">
        <f t="shared" ref="BM53" si="112">BM51+BM50+BM49+BM47+BM41+BM33+BM32+BM52</f>
        <v>716036.82</v>
      </c>
      <c r="BN53" s="11">
        <f t="shared" ref="BN53" si="113">BN51+BN50+BN49+BN47+BN41+BN33+BN32+BN52</f>
        <v>744032.47</v>
      </c>
      <c r="BO53" s="11">
        <f t="shared" ref="BO53" si="114">BO51+BO50+BO49+BO47+BO41+BO33+BO32+BO52</f>
        <v>689630.64</v>
      </c>
      <c r="BP53" s="11">
        <f t="shared" ref="BP53" si="115">BP51+BP50+BP49+BP47+BP41+BP33+BP32+BP52</f>
        <v>768569.59000000008</v>
      </c>
      <c r="BQ53" s="11">
        <f t="shared" ref="BQ53" si="116">BQ51+BQ50+BQ49+BQ47+BQ41+BQ33+BQ32+BQ52</f>
        <v>633911.81999999995</v>
      </c>
      <c r="BR53" s="11">
        <f t="shared" ref="BR53" si="117">BR51+BR50+BR49+BR47+BR41+BR33+BR32+BR52</f>
        <v>686835.6</v>
      </c>
      <c r="BS53" s="11">
        <f t="shared" ref="BS53" si="118">BS51+BS50+BS49+BS47+BS41+BS33+BS32+BS52</f>
        <v>697046.34000000008</v>
      </c>
      <c r="BT53" s="11">
        <f t="shared" ref="BT53" si="119">BT51+BT50+BT49+BT47+BT41+BT33+BT32+BT52</f>
        <v>716485.63000000012</v>
      </c>
      <c r="BU53" s="11">
        <f t="shared" ref="BU53" si="120">BU51+BU50+BU49+BU47+BU41+BU33+BU32+BU52</f>
        <v>793049.58999999985</v>
      </c>
      <c r="BV53" s="11">
        <f t="shared" ref="BV53" si="121">BV51+BV50+BV49+BV47+BV41+BV33+BV32+BV52</f>
        <v>609167.26</v>
      </c>
      <c r="BW53" s="11">
        <f t="shared" ref="BW53" si="122">BW51+BW50+BW49+BW47+BW41+BW33+BW32+BW52</f>
        <v>618839.75</v>
      </c>
      <c r="BX53" s="11">
        <f t="shared" ref="BX53" si="123">BX51+BX50+BX49+BX47+BX41+BX33+BX32+BX52</f>
        <v>679275.65999999992</v>
      </c>
      <c r="BY53" s="11">
        <f t="shared" ref="BY53" si="124">BY51+BY50+BY49+BY47+BY41+BY33+BY32+BY52</f>
        <v>674158.88</v>
      </c>
      <c r="BZ53" s="11">
        <f t="shared" ref="BZ53" si="125">BZ51+BZ50+BZ49+BZ47+BZ41+BZ33+BZ32+BZ52</f>
        <v>667453.43999999994</v>
      </c>
      <c r="CA53" s="11">
        <f t="shared" ref="CA53" si="126">CA51+CA50+CA49+CA47+CA41+CA33+CA32+CA52</f>
        <v>0</v>
      </c>
      <c r="CB53" s="11">
        <f t="shared" ref="CB53" si="127">CB51+CB50+CB49+CB47+CB41+CB33+CB32+CB52</f>
        <v>0</v>
      </c>
      <c r="CC53" s="11">
        <f t="shared" ref="CC53" si="128">CC51+CC50+CC49+CC47+CC41+CC33+CC32+CC52</f>
        <v>0</v>
      </c>
      <c r="CD53" s="11">
        <f t="shared" ref="CD53" si="129">CD51+CD50+CD49+CD47+CD41+CD33+CD32+CD52</f>
        <v>0</v>
      </c>
      <c r="CE53" s="11">
        <f t="shared" ref="CE53" si="130">CE51+CE50+CE49+CE47+CE41+CE33+CE32+CE52</f>
        <v>0</v>
      </c>
      <c r="CF53" s="11">
        <f t="shared" ref="CF53" si="131">CF51+CF50+CF49+CF47+CF41+CF33+CF32+CF52</f>
        <v>0</v>
      </c>
      <c r="CG53" s="11">
        <f t="shared" ref="CG53" si="132">CG51+CG50+CG49+CG47+CG41+CG33+CG32+CG52</f>
        <v>0</v>
      </c>
      <c r="CH53" s="11">
        <f t="shared" ref="CH53" si="133">CH51+CH50+CH49+CH47+CH41+CH33+CH32+CH52</f>
        <v>717091.4015601601</v>
      </c>
      <c r="CI53" s="11">
        <f t="shared" ref="CI53" si="134">CI51+CI50+CI49+CI47+CI41+CI33+CI32+CI52</f>
        <v>731898.02186024585</v>
      </c>
      <c r="CJ53" s="11">
        <f t="shared" ref="CJ53" si="135">CJ51+CJ50+CJ49+CJ47+CJ41+CJ33+CJ32+CJ52</f>
        <v>772406.70003972563</v>
      </c>
      <c r="CK53" s="11">
        <f t="shared" ref="CK53" si="136">CK51+CK50+CK49+CK47+CK41+CK33+CK32+CK52</f>
        <v>796711.90694741346</v>
      </c>
      <c r="CL53" s="11">
        <f t="shared" ref="CL53" si="137">CL51+CL50+CL49+CL47+CL41+CL33+CL32+CL52</f>
        <v>807048.60413803952</v>
      </c>
      <c r="CM53" s="11">
        <f t="shared" ref="CM53" si="138">CM51+CM50+CM49+CM47+CM41+CM33+CM32+CM52</f>
        <v>807048.60413803952</v>
      </c>
      <c r="CN53" s="11">
        <f t="shared" ref="CN53" si="139">CN51+CN50+CN49+CN47+CN41+CN33+CN32+CN52</f>
        <v>808166.08491540444</v>
      </c>
      <c r="CO53" s="11">
        <f t="shared" ref="CO53" si="140">CO51+CO50+CO49+CO47+CO41+CO33+CO32+CO52</f>
        <v>803975.53200028581</v>
      </c>
      <c r="CP53" s="11">
        <f t="shared" ref="CP53" si="141">CP51+CP50+CP49+CP47+CP41+CP33+CP32+CP52</f>
        <v>781346.54625864537</v>
      </c>
      <c r="CQ53" s="11">
        <f t="shared" ref="CQ53" si="142">CQ51+CQ50+CQ49+CQ47+CQ41+CQ33+CQ32+CQ52</f>
        <v>766819.2961529009</v>
      </c>
      <c r="CR53" s="11">
        <f t="shared" ref="CR53" si="143">CR51+CR50+CR49+CR47+CR41+CR33+CR32+CR52</f>
        <v>740279.127690483</v>
      </c>
      <c r="CS53" s="11">
        <f t="shared" ref="CS53" si="144">CS51+CS50+CS49+CS47+CS41+CS33+CS32+CS52</f>
        <v>736088.57477536448</v>
      </c>
    </row>
    <row r="54" spans="1:97" x14ac:dyDescent="0.3">
      <c r="A54" s="3"/>
    </row>
    <row r="55" spans="1:97" x14ac:dyDescent="0.3">
      <c r="A55" s="5" t="s">
        <v>18</v>
      </c>
      <c r="B55" s="7">
        <f>B20-B53</f>
        <v>-296527.51999999979</v>
      </c>
      <c r="C55" s="7">
        <f t="shared" ref="C55:BM55" si="145">C20-C53</f>
        <v>-282777.4599999995</v>
      </c>
      <c r="D55" s="7">
        <f t="shared" si="145"/>
        <v>93429.14999999979</v>
      </c>
      <c r="E55" s="7">
        <f t="shared" si="145"/>
        <v>-93572.079999999376</v>
      </c>
      <c r="F55" s="7">
        <f t="shared" si="145"/>
        <v>21488.569999998203</v>
      </c>
      <c r="G55" s="7">
        <f t="shared" si="145"/>
        <v>-188342.53999999957</v>
      </c>
      <c r="H55" s="7">
        <f t="shared" si="145"/>
        <v>-148832.66999999888</v>
      </c>
      <c r="I55" s="7">
        <f t="shared" si="145"/>
        <v>-208726.6899999989</v>
      </c>
      <c r="J55" s="7">
        <f t="shared" si="145"/>
        <v>-325854.32999999914</v>
      </c>
      <c r="K55" s="7">
        <f t="shared" si="145"/>
        <v>-411351.72000000044</v>
      </c>
      <c r="L55" s="7">
        <f t="shared" si="145"/>
        <v>-130471.49000000011</v>
      </c>
      <c r="M55" s="7">
        <f t="shared" si="145"/>
        <v>-636277.76628432167</v>
      </c>
      <c r="N55" s="7">
        <f t="shared" si="145"/>
        <v>-482586.7799999991</v>
      </c>
      <c r="O55" s="7">
        <f t="shared" si="145"/>
        <v>-196550.41999999911</v>
      </c>
      <c r="P55" s="7">
        <f t="shared" si="145"/>
        <v>400119.1300000007</v>
      </c>
      <c r="Q55" s="7">
        <f t="shared" si="145"/>
        <v>-134955.44999999937</v>
      </c>
      <c r="R55" s="7">
        <f t="shared" si="145"/>
        <v>-402616.73999999953</v>
      </c>
      <c r="S55" s="7">
        <f t="shared" si="145"/>
        <v>-479369.19000000018</v>
      </c>
      <c r="T55" s="7">
        <f t="shared" si="145"/>
        <v>-455941.11999999906</v>
      </c>
      <c r="U55" s="7">
        <f t="shared" si="145"/>
        <v>-492017.16999999993</v>
      </c>
      <c r="V55" s="7">
        <f t="shared" si="145"/>
        <v>-440205.9600000002</v>
      </c>
      <c r="W55" s="7">
        <f t="shared" si="145"/>
        <v>-522164.05999999982</v>
      </c>
      <c r="X55" s="7">
        <f t="shared" si="145"/>
        <v>-356705.25000000128</v>
      </c>
      <c r="Y55" s="7">
        <f>Y20-Y53</f>
        <v>-648563.92992593395</v>
      </c>
      <c r="Z55" s="7">
        <f t="shared" si="145"/>
        <v>-318887.53000000049</v>
      </c>
      <c r="AA55" s="7">
        <f t="shared" si="145"/>
        <v>-112610.01000000071</v>
      </c>
      <c r="AB55" s="7">
        <f t="shared" si="145"/>
        <v>354580.13000000105</v>
      </c>
      <c r="AC55" s="7">
        <f t="shared" si="145"/>
        <v>-4456.9100000006147</v>
      </c>
      <c r="AD55" s="7">
        <f t="shared" si="145"/>
        <v>-369325.49999999849</v>
      </c>
      <c r="AE55" s="7">
        <f t="shared" si="145"/>
        <v>-320661.11000000115</v>
      </c>
      <c r="AF55" s="7">
        <f t="shared" si="145"/>
        <v>-452416.7999999997</v>
      </c>
      <c r="AG55" s="7">
        <f t="shared" si="145"/>
        <v>-458251.73999999918</v>
      </c>
      <c r="AH55" s="7">
        <f t="shared" si="145"/>
        <v>-530059.0699999982</v>
      </c>
      <c r="AI55" s="7">
        <f t="shared" si="145"/>
        <v>-395252.05999999959</v>
      </c>
      <c r="AJ55" s="7">
        <f t="shared" si="145"/>
        <v>-337317.77000000025</v>
      </c>
      <c r="AK55" s="7">
        <f t="shared" si="145"/>
        <v>-474072.12999999977</v>
      </c>
      <c r="AL55" s="7">
        <f t="shared" si="145"/>
        <v>197209.08999999962</v>
      </c>
      <c r="AM55" s="7">
        <f t="shared" si="145"/>
        <v>44969.070000000065</v>
      </c>
      <c r="AN55" s="7">
        <f t="shared" si="145"/>
        <v>289133.20999999868</v>
      </c>
      <c r="AO55" s="7">
        <f t="shared" si="145"/>
        <v>215045.31000000169</v>
      </c>
      <c r="AP55" s="7">
        <f t="shared" si="145"/>
        <v>-84875.099999999278</v>
      </c>
      <c r="AQ55" s="7">
        <f t="shared" si="145"/>
        <v>-131036.67000000051</v>
      </c>
      <c r="AR55" s="7">
        <f t="shared" si="145"/>
        <v>-43940.070000001579</v>
      </c>
      <c r="AS55" s="7">
        <f t="shared" si="145"/>
        <v>-125099.7400000022</v>
      </c>
      <c r="AT55" s="7">
        <f t="shared" si="145"/>
        <v>-191654.54000000085</v>
      </c>
      <c r="AU55" s="7">
        <f t="shared" si="145"/>
        <v>-104093.71000000008</v>
      </c>
      <c r="AV55" s="7">
        <f t="shared" si="145"/>
        <v>-574450.45999999915</v>
      </c>
      <c r="AW55" s="7">
        <f t="shared" si="145"/>
        <v>-799382.76999999909</v>
      </c>
      <c r="AX55" s="7">
        <f t="shared" si="145"/>
        <v>-32883.18000000203</v>
      </c>
      <c r="AY55" s="7">
        <f t="shared" si="145"/>
        <v>-305980.03999999887</v>
      </c>
      <c r="AZ55" s="7">
        <f t="shared" si="145"/>
        <v>-132820.91000000085</v>
      </c>
      <c r="BA55" s="7">
        <f t="shared" si="145"/>
        <v>-182074.599999998</v>
      </c>
      <c r="BB55" s="7">
        <f t="shared" si="145"/>
        <v>-106308.88000000024</v>
      </c>
      <c r="BC55" s="7">
        <f t="shared" si="145"/>
        <v>-287673.97999999952</v>
      </c>
      <c r="BD55" s="7">
        <f t="shared" si="145"/>
        <v>-82516.500000000349</v>
      </c>
      <c r="BE55" s="7">
        <f t="shared" si="145"/>
        <v>-206656.73999999964</v>
      </c>
      <c r="BF55" s="7">
        <f t="shared" si="145"/>
        <v>-746355.22999999905</v>
      </c>
      <c r="BG55" s="7">
        <f t="shared" si="145"/>
        <v>-445615.50999999861</v>
      </c>
      <c r="BH55" s="7">
        <f t="shared" si="145"/>
        <v>-415822.0099999985</v>
      </c>
      <c r="BI55" s="7">
        <f t="shared" si="145"/>
        <v>-985074.25</v>
      </c>
      <c r="BJ55" s="7">
        <f t="shared" si="145"/>
        <v>-328421.71397241426</v>
      </c>
      <c r="BK55" s="7">
        <f t="shared" si="145"/>
        <v>-164586.31284859159</v>
      </c>
      <c r="BL55" s="7">
        <f t="shared" si="145"/>
        <v>-96801.2855744384</v>
      </c>
      <c r="BM55" s="7">
        <f t="shared" si="145"/>
        <v>-586343.10129566828</v>
      </c>
      <c r="BN55" s="7">
        <f t="shared" ref="BN55:CR55" si="146">BN20-BN53</f>
        <v>-386003.04962834739</v>
      </c>
      <c r="BO55" s="7">
        <f t="shared" si="146"/>
        <v>-845311.51368225215</v>
      </c>
      <c r="BP55" s="7">
        <f t="shared" si="146"/>
        <v>-179517.44752938882</v>
      </c>
      <c r="BQ55" s="7">
        <f t="shared" si="146"/>
        <v>-433663.44089110999</v>
      </c>
      <c r="BR55" s="7">
        <f t="shared" si="146"/>
        <v>-766144.26945257874</v>
      </c>
      <c r="BS55" s="7">
        <f t="shared" si="146"/>
        <v>-570151.29778525629</v>
      </c>
      <c r="BT55" s="7">
        <f t="shared" si="146"/>
        <v>-464108.59495729231</v>
      </c>
      <c r="BU55" s="7">
        <f t="shared" si="146"/>
        <v>-737029.55238266196</v>
      </c>
      <c r="BV55" s="7">
        <f t="shared" si="146"/>
        <v>-431529.14999999967</v>
      </c>
      <c r="BW55" s="7">
        <f t="shared" si="146"/>
        <v>-424242.9299999997</v>
      </c>
      <c r="BX55" s="7">
        <f t="shared" si="146"/>
        <v>-291681.96999999951</v>
      </c>
      <c r="BY55" s="7">
        <f t="shared" si="146"/>
        <v>-253004.23731378384</v>
      </c>
      <c r="BZ55" s="7">
        <f>BZ20-BZ53</f>
        <v>-221482.50781995663</v>
      </c>
      <c r="CA55" s="7">
        <f t="shared" si="146"/>
        <v>0</v>
      </c>
      <c r="CB55" s="7">
        <f t="shared" si="146"/>
        <v>0</v>
      </c>
      <c r="CC55" s="7">
        <f t="shared" si="146"/>
        <v>0</v>
      </c>
      <c r="CD55" s="7">
        <f t="shared" si="146"/>
        <v>0</v>
      </c>
      <c r="CE55" s="7">
        <f t="shared" si="146"/>
        <v>0</v>
      </c>
      <c r="CF55" s="7">
        <f t="shared" si="146"/>
        <v>0</v>
      </c>
      <c r="CG55" s="7">
        <f t="shared" si="146"/>
        <v>0</v>
      </c>
      <c r="CH55" s="7">
        <f t="shared" si="146"/>
        <v>-450599.00758681702</v>
      </c>
      <c r="CI55" s="7">
        <f t="shared" si="146"/>
        <v>-414783.95228329883</v>
      </c>
      <c r="CJ55" s="7">
        <f t="shared" si="146"/>
        <v>-256988.71252437576</v>
      </c>
      <c r="CK55" s="7">
        <f t="shared" si="146"/>
        <v>-145909.6490792688</v>
      </c>
      <c r="CL55" s="7">
        <f t="shared" si="146"/>
        <v>-74239.238540158141</v>
      </c>
      <c r="CM55" s="7">
        <f t="shared" si="146"/>
        <v>-74239.238540158141</v>
      </c>
      <c r="CN55" s="7">
        <f t="shared" si="146"/>
        <v>-67430.275810631225</v>
      </c>
      <c r="CO55" s="7">
        <f t="shared" si="146"/>
        <v>-58372.104523335816</v>
      </c>
      <c r="CP55" s="7">
        <f t="shared" si="146"/>
        <v>-160218.9115561659</v>
      </c>
      <c r="CQ55" s="7">
        <f t="shared" si="146"/>
        <v>-174230.78031376563</v>
      </c>
      <c r="CR55" s="7">
        <f t="shared" si="146"/>
        <v>-333251.06740333897</v>
      </c>
      <c r="CS55" s="7">
        <f t="shared" ref="CS55" si="147">CS20-CS53</f>
        <v>-343681.61213119817</v>
      </c>
    </row>
    <row r="56" spans="1:97" x14ac:dyDescent="0.3">
      <c r="A56" s="5" t="s">
        <v>41</v>
      </c>
      <c r="B56" s="25">
        <f t="shared" ref="B56" si="148">B55/B4</f>
        <v>-5.4022504747080757E-2</v>
      </c>
      <c r="C56" s="25">
        <f t="shared" ref="C56" si="149">C55/C4</f>
        <v>-4.7853897648075128E-2</v>
      </c>
      <c r="D56" s="25">
        <f t="shared" ref="D56" si="150">D55/D4</f>
        <v>1.3193111010167416E-2</v>
      </c>
      <c r="E56" s="25">
        <f t="shared" ref="E56" si="151">E55/E4</f>
        <v>-1.3332562321710597E-2</v>
      </c>
      <c r="F56" s="25">
        <f t="shared" ref="F56" si="152">F55/F4</f>
        <v>2.5965773112909866E-3</v>
      </c>
      <c r="G56" s="25">
        <f t="shared" ref="G56" si="153">G55/G4</f>
        <v>-2.7189967751521969E-2</v>
      </c>
      <c r="H56" s="25">
        <f t="shared" ref="H56" si="154">H55/H4</f>
        <v>-1.9931535659989074E-2</v>
      </c>
      <c r="I56" s="25">
        <f t="shared" ref="I56" si="155">I55/I4</f>
        <v>-3.0266683596827926E-2</v>
      </c>
      <c r="J56" s="25">
        <f t="shared" ref="J56" si="156">J55/J4</f>
        <v>-4.3172310122823188E-2</v>
      </c>
      <c r="K56" s="25">
        <f t="shared" ref="K56" si="157">K55/K4</f>
        <v>-7.2739412539403275E-2</v>
      </c>
      <c r="L56" s="25">
        <f t="shared" ref="L56" si="158">L55/L4</f>
        <v>-2.174449655360584E-2</v>
      </c>
      <c r="M56" s="25">
        <f t="shared" ref="M56" si="159">M55/M4</f>
        <v>-0.15528156973015794</v>
      </c>
      <c r="N56" s="25">
        <f t="shared" ref="N56" si="160">N55/N4</f>
        <v>-8.6783840012855842E-2</v>
      </c>
      <c r="O56" s="25">
        <f t="shared" ref="O56" si="161">O55/O4</f>
        <v>-3.6614992581087934E-2</v>
      </c>
      <c r="P56" s="25">
        <f t="shared" ref="P56" si="162">P55/P4</f>
        <v>6.1516483914430833E-2</v>
      </c>
      <c r="Q56" s="25">
        <f t="shared" ref="Q56" si="163">Q55/Q4</f>
        <v>-2.4157248757180661E-2</v>
      </c>
      <c r="R56" s="25">
        <f t="shared" ref="R56" si="164">R55/R4</f>
        <v>-8.0871591586679045E-2</v>
      </c>
      <c r="S56" s="25">
        <f t="shared" ref="S56" si="165">S55/S4</f>
        <v>-0.11744820538743382</v>
      </c>
      <c r="T56" s="25">
        <f t="shared" ref="T56" si="166">T55/T4</f>
        <v>-0.11719837421983845</v>
      </c>
      <c r="U56" s="25">
        <f t="shared" ref="U56" si="167">U55/U4</f>
        <v>-0.11807768669962064</v>
      </c>
      <c r="V56" s="25">
        <f t="shared" ref="V56" si="168">V55/V4</f>
        <v>-0.10652147510286973</v>
      </c>
      <c r="W56" s="25">
        <f t="shared" ref="W56" si="169">W55/W4</f>
        <v>-0.13556718428656864</v>
      </c>
      <c r="X56" s="25">
        <f t="shared" ref="X56" si="170">X55/X4</f>
        <v>-7.855114334945705E-2</v>
      </c>
      <c r="Y56" s="25">
        <f t="shared" ref="Y56" si="171">Y55/Y4</f>
        <v>-0.20019412808644771</v>
      </c>
      <c r="Z56" s="25">
        <f t="shared" ref="Z56" si="172">Z55/Z4</f>
        <v>-7.9122266273387198E-2</v>
      </c>
      <c r="AA56" s="25">
        <f t="shared" ref="AA56" si="173">AA55/AA4</f>
        <v>-2.166429676287834E-2</v>
      </c>
      <c r="AB56" s="25">
        <f t="shared" ref="AB56" si="174">AB55/AB4</f>
        <v>5.2571451515910778E-2</v>
      </c>
      <c r="AC56" s="25">
        <f t="shared" ref="AC56" si="175">AC55/AC4</f>
        <v>-6.9166158645181961E-4</v>
      </c>
      <c r="AD56" s="25">
        <f t="shared" ref="AD56" si="176">AD55/AD4</f>
        <v>-5.9484839263331223E-2</v>
      </c>
      <c r="AE56" s="25">
        <f t="shared" ref="AE56" si="177">AE55/AE4</f>
        <v>-4.7617719758880829E-2</v>
      </c>
      <c r="AF56" s="25">
        <f t="shared" ref="AF56" si="178">AF55/AF4</f>
        <v>-6.3218211302048438E-2</v>
      </c>
      <c r="AG56" s="25">
        <f t="shared" ref="AG56" si="179">AG55/AG4</f>
        <v>-6.4992945657715906E-2</v>
      </c>
      <c r="AH56" s="25">
        <f t="shared" ref="AH56" si="180">AH55/AH4</f>
        <v>-8.0261855315079303E-2</v>
      </c>
      <c r="AI56" s="25">
        <f t="shared" ref="AI56" si="181">AI55/AI4</f>
        <v>-5.7314734035121627E-2</v>
      </c>
      <c r="AJ56" s="25">
        <f t="shared" ref="AJ56" si="182">AJ55/AJ4</f>
        <v>-5.8035131585474631E-2</v>
      </c>
      <c r="AK56" s="25">
        <f t="shared" ref="AK56" si="183">AK55/AK4</f>
        <v>-8.493420734223904E-2</v>
      </c>
      <c r="AL56" s="25">
        <f t="shared" ref="AL56" si="184">AL55/AL4</f>
        <v>3.0155232639671601E-2</v>
      </c>
      <c r="AM56" s="25">
        <f t="shared" ref="AM56" si="185">AM55/AM4</f>
        <v>6.4323701364794161E-3</v>
      </c>
      <c r="AN56" s="25">
        <f t="shared" ref="AN56" si="186">AN55/AN4</f>
        <v>3.4383728053348203E-2</v>
      </c>
      <c r="AO56" s="25">
        <f t="shared" ref="AO56" si="187">AO55/AO4</f>
        <v>2.9291611474282879E-2</v>
      </c>
      <c r="AP56" s="25">
        <f t="shared" ref="AP56" si="188">AP55/AP4</f>
        <v>-1.1578228760544899E-2</v>
      </c>
      <c r="AQ56" s="25">
        <f t="shared" ref="AQ56" si="189">AQ55/AQ4</f>
        <v>-1.6654005242489802E-2</v>
      </c>
      <c r="AR56" s="25">
        <f t="shared" ref="AR56" si="190">AR55/AR4</f>
        <v>-4.8846917489557672E-3</v>
      </c>
      <c r="AS56" s="25">
        <f t="shared" ref="AS56" si="191">AS55/AS4</f>
        <v>-1.4001557090546254E-2</v>
      </c>
      <c r="AT56" s="25">
        <f t="shared" ref="AT56" si="192">AT55/AT4</f>
        <v>-2.3836819138565508E-2</v>
      </c>
      <c r="AU56" s="25">
        <f t="shared" ref="AU56" si="193">AU55/AU4</f>
        <v>-1.2393664402162122E-2</v>
      </c>
      <c r="AV56" s="25">
        <f t="shared" ref="AV56" si="194">AV55/AV4</f>
        <v>-0.10206032401871443</v>
      </c>
      <c r="AW56" s="25">
        <f t="shared" ref="AW56" si="195">AW55/AW4</f>
        <v>-0.17309297647984048</v>
      </c>
      <c r="AX56" s="25">
        <f t="shared" ref="AX56" si="196">AX55/AX4</f>
        <v>-5.6310107859906594E-3</v>
      </c>
      <c r="AY56" s="25">
        <f t="shared" ref="AY56" si="197">AY55/AY4</f>
        <v>-5.0860596570118738E-2</v>
      </c>
      <c r="AZ56" s="25">
        <f t="shared" ref="AZ56" si="198">AZ55/AZ4</f>
        <v>-2.0905664385111909E-2</v>
      </c>
      <c r="BA56" s="25">
        <f t="shared" ref="BA56" si="199">BA55/BA4</f>
        <v>-3.1139426254036574E-2</v>
      </c>
      <c r="BB56" s="25">
        <f t="shared" ref="BB56" si="200">BB55/BB4</f>
        <v>-1.5650112938004768E-2</v>
      </c>
      <c r="BC56" s="25">
        <f t="shared" ref="BC56" si="201">BC55/BC4</f>
        <v>-4.6716652918218547E-2</v>
      </c>
      <c r="BD56" s="25">
        <f t="shared" ref="BD56" si="202">BD55/BD4</f>
        <v>-1.1632328131479656E-2</v>
      </c>
      <c r="BE56" s="25">
        <f t="shared" ref="BE56" si="203">BE55/BE4</f>
        <v>-3.221795415333064E-2</v>
      </c>
      <c r="BF56" s="25">
        <f t="shared" ref="BF56" si="204">BF55/BF4</f>
        <v>-0.1422396363914212</v>
      </c>
      <c r="BG56" s="25">
        <f t="shared" ref="BG56" si="205">BG55/BG4</f>
        <v>-7.8178230832459047E-2</v>
      </c>
      <c r="BH56" s="25">
        <f t="shared" ref="BH56" si="206">BH55/BH4</f>
        <v>-7.9201546144150356E-2</v>
      </c>
      <c r="BI56" s="25">
        <f t="shared" ref="BI56" si="207">BI55/BI4</f>
        <v>-0.31002802464123469</v>
      </c>
      <c r="BJ56" s="25">
        <f t="shared" ref="BJ56" si="208">BJ55/BJ4</f>
        <v>-5.9647155042501572E-2</v>
      </c>
      <c r="BK56" s="25">
        <f t="shared" ref="BK56" si="209">BK55/BK4</f>
        <v>-2.6753526789423342E-2</v>
      </c>
      <c r="BL56" s="25">
        <f t="shared" ref="BL56" si="210">BL55/BL4</f>
        <v>-1.3776903540645426E-2</v>
      </c>
      <c r="BM56" s="25">
        <f t="shared" ref="BM56" si="211">BM55/BM4</f>
        <v>-0.10270794082902497</v>
      </c>
      <c r="BN56" s="25">
        <f t="shared" ref="BN56" si="212">BN55/BN4</f>
        <v>-5.9304318463079493E-2</v>
      </c>
      <c r="BO56" s="25">
        <f t="shared" ref="BO56" si="213">BO55/BO4</f>
        <v>-0.15792067682805072</v>
      </c>
      <c r="BP56" s="25">
        <f t="shared" ref="BP56" si="214">BP55/BP4</f>
        <v>-2.3771275878037644E-2</v>
      </c>
      <c r="BQ56" s="25">
        <f t="shared" ref="BQ56" si="215">BQ55/BQ4</f>
        <v>-6.7577366006033465E-2</v>
      </c>
      <c r="BR56" s="25">
        <f t="shared" ref="BR56" si="216">BR55/BR4</f>
        <v>-0.14283627186539777</v>
      </c>
      <c r="BS56" s="25">
        <f t="shared" ref="BS56" si="217">BS55/BS4</f>
        <v>-9.0183838230169289E-2</v>
      </c>
      <c r="BT56" s="25">
        <f t="shared" ref="BT56" si="218">BT55/BT4</f>
        <v>-7.7596462463571519E-2</v>
      </c>
      <c r="BU56" s="25">
        <f t="shared" ref="BU56" si="219">BU55/BU4</f>
        <v>-0.16528745958141619</v>
      </c>
      <c r="BV56" s="25">
        <f t="shared" ref="BV56" si="220">BV55/BV4</f>
        <v>-8.7662863220122553E-2</v>
      </c>
      <c r="BW56" s="25">
        <f t="shared" ref="BW56" si="221">BW55/BW4</f>
        <v>-8.6115945412578526E-2</v>
      </c>
      <c r="BX56" s="25">
        <f t="shared" ref="BX56" si="222">BX55/BX4</f>
        <v>-5.4095678607547971E-2</v>
      </c>
      <c r="BY56" s="25">
        <f t="shared" ref="BY56" si="223">BY55/BY4</f>
        <v>-4.5606451074399659E-2</v>
      </c>
      <c r="BZ56" s="25">
        <f t="shared" ref="BZ56" si="224">BZ55/BZ4</f>
        <v>-3.6590013837892579E-2</v>
      </c>
      <c r="CA56" s="25" t="e">
        <f t="shared" ref="CA56" si="225">CA55/CA4</f>
        <v>#DIV/0!</v>
      </c>
      <c r="CB56" s="25" t="e">
        <f t="shared" ref="CB56" si="226">CB55/CB4</f>
        <v>#DIV/0!</v>
      </c>
      <c r="CC56" s="25" t="e">
        <f t="shared" ref="CC56" si="227">CC55/CC4</f>
        <v>#DIV/0!</v>
      </c>
      <c r="CD56" s="25" t="e">
        <f t="shared" ref="CD56" si="228">CD55/CD4</f>
        <v>#DIV/0!</v>
      </c>
      <c r="CE56" s="25" t="e">
        <f t="shared" ref="CE56" si="229">CE55/CE4</f>
        <v>#DIV/0!</v>
      </c>
      <c r="CF56" s="25" t="e">
        <f t="shared" ref="CF56" si="230">CF55/CF4</f>
        <v>#DIV/0!</v>
      </c>
      <c r="CG56" s="25" t="e">
        <f t="shared" ref="CG56" si="231">CG55/CG4</f>
        <v>#DIV/0!</v>
      </c>
      <c r="CH56" s="25">
        <f t="shared" ref="CH56" si="232">CH55/CH4</f>
        <v>-7.791128944796237E-2</v>
      </c>
      <c r="CI56" s="25">
        <f t="shared" ref="CI56" si="233">CI55/CI4</f>
        <v>-6.8238553359628265E-2</v>
      </c>
      <c r="CJ56" s="25">
        <f t="shared" ref="CJ56" si="234">CJ55/CJ4</f>
        <v>-3.7056985552097743E-2</v>
      </c>
      <c r="CK56" s="25">
        <f t="shared" ref="CK56" si="235">CK55/CK4</f>
        <v>-1.9533148342411894E-2</v>
      </c>
      <c r="CL56" s="25">
        <f t="shared" ref="CL56" si="236">CL55/CL4</f>
        <v>-9.5941913373486336E-3</v>
      </c>
      <c r="CM56" s="25">
        <f t="shared" ref="CM56" si="237">CM55/CM4</f>
        <v>-9.5941913373486336E-3</v>
      </c>
      <c r="CN56" s="25">
        <f t="shared" ref="CN56" si="238">CN55/CN4</f>
        <v>-8.67217781899687E-3</v>
      </c>
      <c r="CO56" s="25">
        <f t="shared" ref="CO56" si="239">CO55/CO4</f>
        <v>-7.5852927455321304E-3</v>
      </c>
      <c r="CP56" s="25">
        <f t="shared" ref="CP56" si="240">CP55/CP4</f>
        <v>-2.2229014451894142E-2</v>
      </c>
      <c r="CQ56" s="25">
        <f t="shared" ref="CQ56" si="241">CQ55/CQ4</f>
        <v>-2.5017342529688937E-2</v>
      </c>
      <c r="CR56" s="25">
        <f t="shared" ref="CR56" si="242">CR55/CR4</f>
        <v>-5.2626677479381934E-2</v>
      </c>
      <c r="CS56" s="25">
        <f t="shared" ref="CS56" si="243">CS55/CS4</f>
        <v>-5.4968653576784002E-2</v>
      </c>
    </row>
    <row r="57" spans="1:97" x14ac:dyDescent="0.3">
      <c r="A57" s="5" t="s">
        <v>55</v>
      </c>
      <c r="B57" s="7">
        <f>B55+B11+B43+B45+B52</f>
        <v>190515.3400000002</v>
      </c>
      <c r="C57" s="7">
        <f>C55+C11+C43+C45+C52</f>
        <v>203210.97000000055</v>
      </c>
      <c r="D57" s="7">
        <f>D55+D11+D43+D45+D52</f>
        <v>563598.00999999978</v>
      </c>
      <c r="E57" s="7">
        <f t="shared" ref="E57:BP57" si="244">E55+E11+E43+E45+E52</f>
        <v>394843.16000000061</v>
      </c>
      <c r="F57" s="7">
        <f t="shared" si="244"/>
        <v>536221.9299999983</v>
      </c>
      <c r="G57" s="7">
        <f t="shared" si="244"/>
        <v>326034.10000000044</v>
      </c>
      <c r="H57" s="7">
        <f t="shared" si="244"/>
        <v>426569.21000000113</v>
      </c>
      <c r="I57" s="7">
        <f t="shared" si="244"/>
        <v>366666.05000000109</v>
      </c>
      <c r="J57" s="7">
        <f t="shared" si="244"/>
        <v>253490.52000000083</v>
      </c>
      <c r="K57" s="7">
        <f t="shared" si="244"/>
        <v>145635.72999999957</v>
      </c>
      <c r="L57" s="7">
        <f t="shared" si="244"/>
        <v>448761.96999999986</v>
      </c>
      <c r="M57" s="7">
        <f t="shared" si="244"/>
        <v>-142038.55628432165</v>
      </c>
      <c r="N57" s="7">
        <f t="shared" si="244"/>
        <v>142120.4700000009</v>
      </c>
      <c r="O57" s="7">
        <f t="shared" si="244"/>
        <v>416080.70000000094</v>
      </c>
      <c r="P57" s="7">
        <f t="shared" si="244"/>
        <v>1004787.4000000007</v>
      </c>
      <c r="Q57" s="7">
        <f t="shared" si="244"/>
        <v>470952.68000000063</v>
      </c>
      <c r="R57" s="7">
        <f t="shared" si="244"/>
        <v>235316.18000000052</v>
      </c>
      <c r="S57" s="7">
        <f t="shared" si="244"/>
        <v>166376.78999999989</v>
      </c>
      <c r="T57" s="7">
        <f t="shared" si="244"/>
        <v>126316.49000000092</v>
      </c>
      <c r="U57" s="7">
        <f t="shared" si="244"/>
        <v>109439.20000000011</v>
      </c>
      <c r="V57" s="7">
        <f t="shared" si="244"/>
        <v>157530.30999999982</v>
      </c>
      <c r="W57" s="7">
        <f t="shared" si="244"/>
        <v>64546.880000000223</v>
      </c>
      <c r="X57" s="7">
        <f t="shared" si="244"/>
        <v>247618.84999999873</v>
      </c>
      <c r="Y57" s="7">
        <f t="shared" si="244"/>
        <v>11612.180074066069</v>
      </c>
      <c r="Z57" s="7">
        <f t="shared" si="244"/>
        <v>325634.23999999958</v>
      </c>
      <c r="AA57" s="7">
        <f t="shared" si="244"/>
        <v>579549.22999999928</v>
      </c>
      <c r="AB57" s="7">
        <f t="shared" si="244"/>
        <v>943370.97000000114</v>
      </c>
      <c r="AC57" s="7">
        <f t="shared" si="244"/>
        <v>750052.33999999939</v>
      </c>
      <c r="AD57" s="7">
        <f t="shared" si="244"/>
        <v>385452.9900000015</v>
      </c>
      <c r="AE57" s="7">
        <f t="shared" si="244"/>
        <v>307199.35999999882</v>
      </c>
      <c r="AF57" s="7">
        <f t="shared" si="244"/>
        <v>190450.39000000033</v>
      </c>
      <c r="AG57" s="7">
        <f t="shared" si="244"/>
        <v>243900.83000000092</v>
      </c>
      <c r="AH57" s="7">
        <f t="shared" si="244"/>
        <v>158449.4200000019</v>
      </c>
      <c r="AI57" s="7">
        <f t="shared" si="244"/>
        <v>382906.14000000036</v>
      </c>
      <c r="AJ57" s="7">
        <f t="shared" si="244"/>
        <v>351240.1599999998</v>
      </c>
      <c r="AK57" s="7">
        <f t="shared" si="244"/>
        <v>226824.51000000024</v>
      </c>
      <c r="AL57" s="7">
        <f t="shared" si="244"/>
        <v>956166.81999999972</v>
      </c>
      <c r="AM57" s="7">
        <f t="shared" si="244"/>
        <v>731636.12000000011</v>
      </c>
      <c r="AN57" s="7">
        <f t="shared" si="244"/>
        <v>1059942.2799999986</v>
      </c>
      <c r="AO57" s="7">
        <f t="shared" si="244"/>
        <v>931972.63000000175</v>
      </c>
      <c r="AP57" s="7">
        <f t="shared" si="244"/>
        <v>622759.51000000071</v>
      </c>
      <c r="AQ57" s="7">
        <f t="shared" si="244"/>
        <v>679442.12999999954</v>
      </c>
      <c r="AR57" s="7">
        <f t="shared" si="244"/>
        <v>633792.78999999841</v>
      </c>
      <c r="AS57" s="7">
        <f t="shared" si="244"/>
        <v>595677.56999999785</v>
      </c>
      <c r="AT57" s="7">
        <f t="shared" si="244"/>
        <v>504434.20999999909</v>
      </c>
      <c r="AU57" s="7">
        <f t="shared" si="244"/>
        <v>578373.71</v>
      </c>
      <c r="AV57" s="7">
        <f t="shared" si="244"/>
        <v>143843.98000000083</v>
      </c>
      <c r="AW57" s="7">
        <f t="shared" si="244"/>
        <v>-71921.029999999068</v>
      </c>
      <c r="AX57" s="7">
        <f t="shared" si="244"/>
        <v>723017.05999999796</v>
      </c>
      <c r="AY57" s="7">
        <f t="shared" si="244"/>
        <v>455732.70000000112</v>
      </c>
      <c r="AZ57" s="7">
        <f t="shared" si="244"/>
        <v>650644.82999999914</v>
      </c>
      <c r="BA57" s="7">
        <f t="shared" si="244"/>
        <v>617662.95000000205</v>
      </c>
      <c r="BB57" s="7">
        <f t="shared" si="244"/>
        <v>678335.68999999983</v>
      </c>
      <c r="BC57" s="7">
        <f t="shared" si="244"/>
        <v>479154.39000000054</v>
      </c>
      <c r="BD57" s="7">
        <f t="shared" si="244"/>
        <v>671609.87999999954</v>
      </c>
      <c r="BE57" s="7">
        <f t="shared" si="244"/>
        <v>527340.23000000033</v>
      </c>
      <c r="BF57" s="7">
        <f t="shared" si="244"/>
        <v>1972.5100000009988</v>
      </c>
      <c r="BG57" s="7">
        <f t="shared" si="244"/>
        <v>304654.85000000143</v>
      </c>
      <c r="BH57" s="7">
        <f t="shared" si="244"/>
        <v>316613.6700000015</v>
      </c>
      <c r="BI57" s="7">
        <f t="shared" si="244"/>
        <v>-241374.80999999994</v>
      </c>
      <c r="BJ57" s="7">
        <f t="shared" si="244"/>
        <v>384010.93602758576</v>
      </c>
      <c r="BK57" s="7">
        <f t="shared" si="244"/>
        <v>606175.53715140838</v>
      </c>
      <c r="BL57" s="7">
        <f t="shared" si="244"/>
        <v>604208.87442556163</v>
      </c>
      <c r="BM57" s="7">
        <f t="shared" si="244"/>
        <v>139251.8187043317</v>
      </c>
      <c r="BN57" s="7">
        <f t="shared" si="244"/>
        <v>330750.34037165251</v>
      </c>
      <c r="BO57" s="7">
        <f t="shared" si="244"/>
        <v>-98607.64368225215</v>
      </c>
      <c r="BP57" s="7">
        <f t="shared" si="244"/>
        <v>552661.32247061119</v>
      </c>
      <c r="BQ57" s="7">
        <f t="shared" ref="BQ57:CS57" si="245">BQ55+BQ11+BQ43+BQ45+BQ52</f>
        <v>264870.40910888999</v>
      </c>
      <c r="BR57" s="7">
        <f t="shared" si="245"/>
        <v>-44568.049452578693</v>
      </c>
      <c r="BS57" s="7">
        <f t="shared" si="245"/>
        <v>189738.34221474381</v>
      </c>
      <c r="BT57" s="7">
        <f t="shared" si="245"/>
        <v>252743.9450427077</v>
      </c>
      <c r="BU57" s="7">
        <f t="shared" si="245"/>
        <v>-15211.632382661905</v>
      </c>
      <c r="BV57" s="7">
        <f t="shared" si="245"/>
        <v>258769.03000000032</v>
      </c>
      <c r="BW57" s="7">
        <f t="shared" si="245"/>
        <v>289264.67000000027</v>
      </c>
      <c r="BX57" s="7">
        <f t="shared" si="245"/>
        <v>448786.05000000051</v>
      </c>
      <c r="BY57" s="7">
        <f t="shared" si="245"/>
        <v>499373.04268621618</v>
      </c>
      <c r="BZ57" s="7">
        <f t="shared" si="245"/>
        <v>544826.41218004329</v>
      </c>
      <c r="CA57" s="7">
        <f t="shared" si="245"/>
        <v>0</v>
      </c>
      <c r="CB57" s="7">
        <f t="shared" si="245"/>
        <v>0</v>
      </c>
      <c r="CC57" s="7">
        <f t="shared" si="245"/>
        <v>0</v>
      </c>
      <c r="CD57" s="7">
        <f t="shared" si="245"/>
        <v>0</v>
      </c>
      <c r="CE57" s="7">
        <f t="shared" si="245"/>
        <v>0</v>
      </c>
      <c r="CF57" s="7">
        <f t="shared" si="245"/>
        <v>0</v>
      </c>
      <c r="CG57" s="7">
        <f t="shared" si="245"/>
        <v>0</v>
      </c>
      <c r="CH57" s="7">
        <f t="shared" si="245"/>
        <v>256191.3314628056</v>
      </c>
      <c r="CI57" s="7">
        <f t="shared" si="245"/>
        <v>313859.45365462115</v>
      </c>
      <c r="CJ57" s="7">
        <f t="shared" si="245"/>
        <v>502806.5804058155</v>
      </c>
      <c r="CK57" s="7">
        <f t="shared" si="245"/>
        <v>629790.85645653191</v>
      </c>
      <c r="CL57" s="7">
        <f t="shared" si="245"/>
        <v>713827.84742062876</v>
      </c>
      <c r="CM57" s="7">
        <f t="shared" si="245"/>
        <v>713827.84742062876</v>
      </c>
      <c r="CN57" s="7">
        <f t="shared" si="245"/>
        <v>733455.63022755843</v>
      </c>
      <c r="CO57" s="7">
        <f t="shared" si="245"/>
        <v>720571.44470157311</v>
      </c>
      <c r="CP57" s="7">
        <f t="shared" si="245"/>
        <v>604628.84286125156</v>
      </c>
      <c r="CQ57" s="7">
        <f t="shared" si="245"/>
        <v>575787.6663711681</v>
      </c>
      <c r="CR57" s="7">
        <f t="shared" si="245"/>
        <v>405867.82470659236</v>
      </c>
      <c r="CS57" s="7">
        <f t="shared" si="245"/>
        <v>392983.6391806067</v>
      </c>
    </row>
    <row r="58" spans="1:97" x14ac:dyDescent="0.3">
      <c r="A58" s="5" t="s">
        <v>56</v>
      </c>
      <c r="B58" s="25">
        <f t="shared" ref="B58" si="246">B57/B4</f>
        <v>3.4708804968731813E-2</v>
      </c>
      <c r="C58" s="25">
        <f t="shared" ref="C58" si="247">C57/C4</f>
        <v>3.4389010210877875E-2</v>
      </c>
      <c r="D58" s="25">
        <f t="shared" ref="D58" si="248">D57/D4</f>
        <v>7.9585558800860975E-2</v>
      </c>
      <c r="E58" s="25">
        <f t="shared" ref="E58" si="249">E57/E4</f>
        <v>5.6258993473279548E-2</v>
      </c>
      <c r="F58" s="25">
        <f t="shared" ref="F58" si="250">F57/F4</f>
        <v>6.4794525520068369E-2</v>
      </c>
      <c r="G58" s="25">
        <f t="shared" ref="G58" si="251">G57/G4</f>
        <v>4.7067734484713436E-2</v>
      </c>
      <c r="H58" s="25">
        <f t="shared" ref="H58" si="252">H57/H4</f>
        <v>5.7125760228372263E-2</v>
      </c>
      <c r="I58" s="25">
        <f t="shared" ref="I58" si="253">I57/I4</f>
        <v>5.3168884731745518E-2</v>
      </c>
      <c r="J58" s="25">
        <f t="shared" ref="J58" si="254">J57/J4</f>
        <v>3.3584857818632574E-2</v>
      </c>
      <c r="K58" s="25">
        <f t="shared" ref="K58" si="255">K57/K4</f>
        <v>2.5752797253277823E-2</v>
      </c>
      <c r="L58" s="25">
        <f t="shared" ref="L58" si="256">L57/L4</f>
        <v>7.4791075889869552E-2</v>
      </c>
      <c r="M58" s="25">
        <f t="shared" ref="M58" si="257">M57/M4</f>
        <v>-3.4664058923251945E-2</v>
      </c>
      <c r="N58" s="25">
        <f t="shared" ref="N58" si="258">N57/N4</f>
        <v>2.5557600502508545E-2</v>
      </c>
      <c r="O58" s="25">
        <f t="shared" ref="O58" si="259">O57/O4</f>
        <v>7.7510858250183223E-2</v>
      </c>
      <c r="P58" s="25">
        <f t="shared" ref="P58" si="260">P57/P4</f>
        <v>0.15448146138257052</v>
      </c>
      <c r="Q58" s="25">
        <f t="shared" ref="Q58" si="261">Q57/Q4</f>
        <v>8.4301308643859665E-2</v>
      </c>
      <c r="R58" s="25">
        <f t="shared" ref="R58" si="262">R57/R4</f>
        <v>4.7266772868652988E-2</v>
      </c>
      <c r="S58" s="25">
        <f t="shared" ref="S58" si="263">S57/S4</f>
        <v>4.0763269336566925E-2</v>
      </c>
      <c r="T58" s="25">
        <f t="shared" ref="T58" si="264">T57/T4</f>
        <v>3.2469296178323684E-2</v>
      </c>
      <c r="U58" s="25">
        <f t="shared" ref="U58" si="265">U57/U4</f>
        <v>2.6263976865395042E-2</v>
      </c>
      <c r="V58" s="25">
        <f t="shared" ref="V58" si="266">V57/V4</f>
        <v>3.8119340761793241E-2</v>
      </c>
      <c r="W58" s="25">
        <f t="shared" ref="W58" si="267">W57/W4</f>
        <v>1.6758025774663742E-2</v>
      </c>
      <c r="X58" s="25">
        <f t="shared" ref="X58" si="268">X57/X4</f>
        <v>5.4528896847964907E-2</v>
      </c>
      <c r="Y58" s="25">
        <f t="shared" ref="Y58" si="269">Y57/Y4</f>
        <v>3.5843656389832816E-3</v>
      </c>
      <c r="Z58" s="25">
        <f t="shared" ref="Z58" si="270">Z57/Z4</f>
        <v>8.0796257680606082E-2</v>
      </c>
      <c r="AA58" s="25">
        <f t="shared" ref="AA58" si="271">AA57/AA4</f>
        <v>0.11149565218418452</v>
      </c>
      <c r="AB58" s="25">
        <f t="shared" ref="AB58" si="272">AB57/AB4</f>
        <v>0.13986790859057058</v>
      </c>
      <c r="AC58" s="25">
        <f t="shared" ref="AC58" si="273">AC57/AC4</f>
        <v>0.11639956638258965</v>
      </c>
      <c r="AD58" s="25">
        <f t="shared" ref="AD58" si="274">AD57/AD4</f>
        <v>6.2082388445207817E-2</v>
      </c>
      <c r="AE58" s="25">
        <f t="shared" ref="AE58" si="275">AE57/AE4</f>
        <v>4.5618668988538821E-2</v>
      </c>
      <c r="AF58" s="25">
        <f t="shared" ref="AF58" si="276">AF57/AF4</f>
        <v>2.6612479902553488E-2</v>
      </c>
      <c r="AG58" s="25">
        <f t="shared" ref="AG58" si="277">AG57/AG4</f>
        <v>3.4591976432128538E-2</v>
      </c>
      <c r="AH58" s="25">
        <f t="shared" ref="AH58" si="278">AH57/AH4</f>
        <v>2.3992504123735547E-2</v>
      </c>
      <c r="AI58" s="25">
        <f t="shared" ref="AI58" si="279">AI57/AI4</f>
        <v>5.5524476139390877E-2</v>
      </c>
      <c r="AJ58" s="25">
        <f t="shared" ref="AJ58" si="280">AJ57/AJ4</f>
        <v>6.0430462657520639E-2</v>
      </c>
      <c r="AK58" s="25">
        <f t="shared" ref="AK58" si="281">AK57/AK4</f>
        <v>4.0637613442160804E-2</v>
      </c>
      <c r="AL58" s="25">
        <f t="shared" ref="AL58" si="282">AL57/AL4</f>
        <v>0.14620742329592945</v>
      </c>
      <c r="AM58" s="25">
        <f t="shared" ref="AM58" si="283">AM57/AM4</f>
        <v>0.10465313890319868</v>
      </c>
      <c r="AN58" s="25">
        <f t="shared" ref="AN58" si="284">AN57/AN4</f>
        <v>0.12604836057319729</v>
      </c>
      <c r="AO58" s="25">
        <f t="shared" ref="AO58" si="285">AO57/AO4</f>
        <v>0.1269452478764844</v>
      </c>
      <c r="AP58" s="25">
        <f t="shared" ref="AP58" si="286">AP57/AP4</f>
        <v>8.4953679814043434E-2</v>
      </c>
      <c r="AQ58" s="25">
        <f t="shared" ref="AQ58" si="287">AQ57/AQ4</f>
        <v>8.6353177282270585E-2</v>
      </c>
      <c r="AR58" s="25">
        <f t="shared" ref="AR58" si="288">AR57/AR4</f>
        <v>7.0456929446415004E-2</v>
      </c>
      <c r="AS58" s="25">
        <f t="shared" ref="AS58" si="289">AS57/AS4</f>
        <v>6.6670110616638259E-2</v>
      </c>
      <c r="AT58" s="25">
        <f t="shared" ref="AT58" si="290">AT57/AT4</f>
        <v>6.2738440900356948E-2</v>
      </c>
      <c r="AU58" s="25">
        <f t="shared" ref="AU58" si="291">AU57/AU4</f>
        <v>6.8862659048019637E-2</v>
      </c>
      <c r="AV58" s="25">
        <f t="shared" ref="AV58" si="292">AV57/AV4</f>
        <v>2.5556186702229439E-2</v>
      </c>
      <c r="AW58" s="25">
        <f t="shared" ref="AW58" si="293">AW57/AW4</f>
        <v>-1.5573296825244E-2</v>
      </c>
      <c r="AX58" s="25">
        <f t="shared" ref="AX58" si="294">AX57/AX4</f>
        <v>0.12381153110237492</v>
      </c>
      <c r="AY58" s="25">
        <f t="shared" ref="AY58" si="295">AY57/AY4</f>
        <v>7.5752774587881919E-2</v>
      </c>
      <c r="AZ58" s="25">
        <f t="shared" ref="AZ58" si="296">AZ57/AZ4</f>
        <v>0.10240979714630842</v>
      </c>
      <c r="BA58" s="25">
        <f t="shared" ref="BA58" si="297">BA57/BA4</f>
        <v>0.10563620560680048</v>
      </c>
      <c r="BB58" s="25">
        <f t="shared" ref="BB58" si="298">BB57/BB4</f>
        <v>9.9860238941275326E-2</v>
      </c>
      <c r="BC58" s="25">
        <f t="shared" ref="BC58" si="299">BC57/BC4</f>
        <v>7.7812005562236775E-2</v>
      </c>
      <c r="BD58" s="25">
        <f t="shared" ref="BD58" si="300">BD57/BD4</f>
        <v>9.4676658613775888E-2</v>
      </c>
      <c r="BE58" s="25">
        <f t="shared" ref="BE58" si="301">BE57/BE4</f>
        <v>8.2212771542543805E-2</v>
      </c>
      <c r="BF58" s="25">
        <f t="shared" ref="BF58" si="302">BF57/BF4</f>
        <v>3.7591899125378228E-4</v>
      </c>
      <c r="BG58" s="25">
        <f t="shared" ref="BG58" si="303">BG57/BG4</f>
        <v>5.3448267964300376E-2</v>
      </c>
      <c r="BH58" s="25">
        <f t="shared" ref="BH58" si="304">BH57/BH4</f>
        <v>6.0305350826364387E-2</v>
      </c>
      <c r="BI58" s="25">
        <f t="shared" ref="BI58" si="305">BI57/BI4</f>
        <v>-7.5966817265250133E-2</v>
      </c>
      <c r="BJ58" s="25">
        <f t="shared" ref="BJ58" si="306">BJ57/BJ4</f>
        <v>6.9743134709958549E-2</v>
      </c>
      <c r="BK58" s="25">
        <f t="shared" ref="BK58" si="307">BK57/BK4</f>
        <v>9.8533913249470209E-2</v>
      </c>
      <c r="BL58" s="25">
        <f t="shared" ref="BL58" si="308">BL57/BL4</f>
        <v>8.5991909425229759E-2</v>
      </c>
      <c r="BM58" s="25">
        <f t="shared" ref="BM58" si="309">BM57/BM4</f>
        <v>2.4392318293187488E-2</v>
      </c>
      <c r="BN58" s="25">
        <f t="shared" ref="BN58" si="310">BN57/BN4</f>
        <v>5.0815462561910107E-2</v>
      </c>
      <c r="BO58" s="25">
        <f t="shared" ref="BO58" si="311">BO57/BO4</f>
        <v>-1.8421830980258024E-2</v>
      </c>
      <c r="BP58" s="25">
        <f t="shared" ref="BP58" si="312">BP57/BP4</f>
        <v>7.3182105385156432E-2</v>
      </c>
      <c r="BQ58" s="25">
        <f t="shared" ref="BQ58" si="313">BQ57/BQ4</f>
        <v>4.1274506662906961E-2</v>
      </c>
      <c r="BR58" s="25">
        <f t="shared" ref="BR58" si="314">BR57/BR4</f>
        <v>-8.3090538974696961E-3</v>
      </c>
      <c r="BS58" s="25">
        <f t="shared" ref="BS58" si="315">BS57/BS4</f>
        <v>3.0011914428369545E-2</v>
      </c>
      <c r="BT58" s="25">
        <f t="shared" ref="BT58" si="316">BT57/BT4</f>
        <v>4.2257429096322102E-2</v>
      </c>
      <c r="BU58" s="25">
        <f t="shared" ref="BU58" si="317">BU57/BU4</f>
        <v>-3.4113856961208843E-3</v>
      </c>
      <c r="BV58" s="25">
        <f t="shared" ref="BV58" si="318">BV57/BV4</f>
        <v>5.256755906870679E-2</v>
      </c>
      <c r="BW58" s="25">
        <f t="shared" ref="BW58" si="319">BW57/BW4</f>
        <v>5.8717066967993038E-2</v>
      </c>
      <c r="BX58" s="25">
        <f t="shared" ref="BX58" si="320">BX57/BX4</f>
        <v>8.3232384656312566E-2</v>
      </c>
      <c r="BY58" s="25">
        <f t="shared" ref="BY58" si="321">BY57/BY4</f>
        <v>9.0016801619402093E-2</v>
      </c>
      <c r="BZ58" s="25">
        <f t="shared" ref="BZ58" si="322">BZ57/BZ4</f>
        <v>9.0008037912964675E-2</v>
      </c>
      <c r="CA58" s="25" t="e">
        <f t="shared" ref="CA58" si="323">CA57/CA4</f>
        <v>#DIV/0!</v>
      </c>
      <c r="CB58" s="25" t="e">
        <f t="shared" ref="CB58" si="324">CB57/CB4</f>
        <v>#DIV/0!</v>
      </c>
      <c r="CC58" s="25" t="e">
        <f t="shared" ref="CC58" si="325">CC57/CC4</f>
        <v>#DIV/0!</v>
      </c>
      <c r="CD58" s="25" t="e">
        <f t="shared" ref="CD58" si="326">CD57/CD4</f>
        <v>#DIV/0!</v>
      </c>
      <c r="CE58" s="25" t="e">
        <f t="shared" ref="CE58" si="327">CE57/CE4</f>
        <v>#DIV/0!</v>
      </c>
      <c r="CF58" s="25" t="e">
        <f t="shared" ref="CF58" si="328">CF57/CF4</f>
        <v>#DIV/0!</v>
      </c>
      <c r="CG58" s="25" t="e">
        <f t="shared" ref="CG58" si="329">CG57/CG4</f>
        <v>#DIV/0!</v>
      </c>
      <c r="CH58" s="25">
        <f t="shared" ref="CH58" si="330">CH57/CH4</f>
        <v>4.4297028274772179E-2</v>
      </c>
      <c r="CI58" s="25">
        <f t="shared" ref="CI58" si="331">CI57/CI4</f>
        <v>5.1634869087236385E-2</v>
      </c>
      <c r="CJ58" s="25">
        <f t="shared" ref="CJ58" si="332">CJ57/CJ4</f>
        <v>7.2503169507223617E-2</v>
      </c>
      <c r="CK58" s="25">
        <f t="shared" ref="CK58" si="333">CK57/CK4</f>
        <v>8.4311067167167519E-2</v>
      </c>
      <c r="CL58" s="25">
        <f t="shared" ref="CL58" si="334">CL57/CL4</f>
        <v>9.2250420192235852E-2</v>
      </c>
      <c r="CM58" s="25">
        <f t="shared" ref="CM58" si="335">CM57/CM4</f>
        <v>9.2250420192235852E-2</v>
      </c>
      <c r="CN58" s="25">
        <f t="shared" ref="CN58" si="336">CN57/CN4</f>
        <v>9.4329402797355383E-2</v>
      </c>
      <c r="CO58" s="25">
        <f t="shared" ref="CO58" si="337">CO57/CO4</f>
        <v>9.3636256509260704E-2</v>
      </c>
      <c r="CP58" s="25">
        <f t="shared" ref="CP58" si="338">CP57/CP4</f>
        <v>8.3887121410653173E-2</v>
      </c>
      <c r="CQ58" s="25">
        <f t="shared" ref="CQ58" si="339">CQ57/CQ4</f>
        <v>8.2675846644530482E-2</v>
      </c>
      <c r="CR58" s="25">
        <f t="shared" ref="CR58" si="340">CR57/CR4</f>
        <v>6.4094243647959431E-2</v>
      </c>
      <c r="CS58" s="25">
        <f t="shared" ref="CS58" si="341">CS57/CS4</f>
        <v>6.285405084522333E-2</v>
      </c>
    </row>
    <row r="60" spans="1:97" x14ac:dyDescent="0.3">
      <c r="A60" s="5" t="s">
        <v>57</v>
      </c>
      <c r="B60" s="7">
        <f>B17+B53</f>
        <v>1767793.74</v>
      </c>
      <c r="C60" s="7">
        <f t="shared" ref="C60:BM60" si="342">C17+C53</f>
        <v>2047331.0599999998</v>
      </c>
      <c r="D60" s="7">
        <f t="shared" si="342"/>
        <v>2094042.27</v>
      </c>
      <c r="E60" s="7">
        <f t="shared" si="342"/>
        <v>2154160.06</v>
      </c>
      <c r="F60" s="7">
        <f t="shared" si="342"/>
        <v>2410307.67</v>
      </c>
      <c r="G60" s="7">
        <f t="shared" si="342"/>
        <v>2239161.64</v>
      </c>
      <c r="H60" s="7">
        <f t="shared" si="342"/>
        <v>2376728.88</v>
      </c>
      <c r="I60" s="7">
        <f t="shared" si="342"/>
        <v>2220880.4700000002</v>
      </c>
      <c r="J60" s="7">
        <f t="shared" si="342"/>
        <v>2425911.9300000002</v>
      </c>
      <c r="K60" s="7">
        <f t="shared" si="342"/>
        <v>2108895.1799999997</v>
      </c>
      <c r="L60" s="7">
        <f t="shared" si="342"/>
        <v>2161181.4099999997</v>
      </c>
      <c r="M60" s="7">
        <f t="shared" si="342"/>
        <v>2568351.8962843223</v>
      </c>
      <c r="N60" s="7">
        <f t="shared" si="342"/>
        <v>2168975.21</v>
      </c>
      <c r="O60" s="7">
        <f t="shared" si="342"/>
        <v>2109321.91</v>
      </c>
      <c r="P60" s="7">
        <f t="shared" si="342"/>
        <v>2157083.5699999998</v>
      </c>
      <c r="Q60" s="7">
        <f t="shared" si="342"/>
        <v>2109638.2000000002</v>
      </c>
      <c r="R60" s="7">
        <f t="shared" si="342"/>
        <v>2127943.3499999996</v>
      </c>
      <c r="S60" s="7">
        <f t="shared" si="342"/>
        <v>1953409.6199999999</v>
      </c>
      <c r="T60" s="7">
        <f t="shared" si="342"/>
        <v>1839607.2200000002</v>
      </c>
      <c r="U60" s="7">
        <f t="shared" si="342"/>
        <v>1929894.0299999998</v>
      </c>
      <c r="V60" s="7">
        <f t="shared" si="342"/>
        <v>2009536.54</v>
      </c>
      <c r="W60" s="7">
        <f t="shared" si="342"/>
        <v>1953506.95</v>
      </c>
      <c r="X60" s="7">
        <f t="shared" si="342"/>
        <v>2013927</v>
      </c>
      <c r="Y60" s="7">
        <f t="shared" si="342"/>
        <v>2056908.1199259404</v>
      </c>
      <c r="Z60" s="7">
        <f t="shared" si="342"/>
        <v>1879475.72</v>
      </c>
      <c r="AA60" s="7">
        <f t="shared" si="342"/>
        <v>2101495.37</v>
      </c>
      <c r="AB60" s="7">
        <f t="shared" si="342"/>
        <v>2145064.3100000005</v>
      </c>
      <c r="AC60" s="7">
        <f t="shared" si="342"/>
        <v>2110448.1799999997</v>
      </c>
      <c r="AD60" s="7">
        <f t="shared" si="342"/>
        <v>2196917.75</v>
      </c>
      <c r="AE60" s="7">
        <f t="shared" si="342"/>
        <v>2193555</v>
      </c>
      <c r="AF60" s="7">
        <f t="shared" si="342"/>
        <v>2188806.6800000002</v>
      </c>
      <c r="AG60" s="7">
        <f t="shared" si="342"/>
        <v>2249967.3099999996</v>
      </c>
      <c r="AH60" s="7">
        <f t="shared" si="342"/>
        <v>2247872.29</v>
      </c>
      <c r="AI60" s="7">
        <f t="shared" si="342"/>
        <v>2493187.94</v>
      </c>
      <c r="AJ60" s="7">
        <f t="shared" si="342"/>
        <v>2214813.79</v>
      </c>
      <c r="AK60" s="7">
        <f t="shared" si="342"/>
        <v>2279703.16</v>
      </c>
      <c r="AL60" s="7">
        <f t="shared" si="342"/>
        <v>2025156.23</v>
      </c>
      <c r="AM60" s="7">
        <f t="shared" si="342"/>
        <v>2156364.89</v>
      </c>
      <c r="AN60" s="7">
        <f t="shared" si="342"/>
        <v>2263189.77</v>
      </c>
      <c r="AO60" s="7">
        <f t="shared" si="342"/>
        <v>2227653.92</v>
      </c>
      <c r="AP60" s="7">
        <f t="shared" si="342"/>
        <v>2240187</v>
      </c>
      <c r="AQ60" s="7">
        <f t="shared" si="342"/>
        <v>2498614.9699999997</v>
      </c>
      <c r="AR60" s="7">
        <f t="shared" si="342"/>
        <v>2284665.63</v>
      </c>
      <c r="AS60" s="7">
        <f t="shared" si="342"/>
        <v>2563003.33</v>
      </c>
      <c r="AT60" s="7">
        <f t="shared" si="342"/>
        <v>2309592.3199999998</v>
      </c>
      <c r="AU60" s="7">
        <f t="shared" si="342"/>
        <v>2267974.5599999996</v>
      </c>
      <c r="AV60" s="7">
        <f t="shared" si="342"/>
        <v>2077201.8399999999</v>
      </c>
      <c r="AW60" s="7">
        <f t="shared" si="342"/>
        <v>2137293.7799999998</v>
      </c>
      <c r="AX60" s="7">
        <f t="shared" si="342"/>
        <v>1971846.0699999998</v>
      </c>
      <c r="AY60" s="7">
        <f t="shared" si="342"/>
        <v>2190646.9699999997</v>
      </c>
      <c r="AZ60" s="7">
        <f t="shared" si="342"/>
        <v>2212154.25</v>
      </c>
      <c r="BA60" s="7">
        <f t="shared" si="342"/>
        <v>2196087.4799999995</v>
      </c>
      <c r="BB60" s="7">
        <f t="shared" si="342"/>
        <v>2266536.62</v>
      </c>
      <c r="BC60" s="7">
        <f t="shared" si="342"/>
        <v>2241883.25</v>
      </c>
      <c r="BD60" s="7">
        <f t="shared" si="342"/>
        <v>2300048.52</v>
      </c>
      <c r="BE60" s="7">
        <f t="shared" si="342"/>
        <v>2063348.7999999998</v>
      </c>
      <c r="BF60" s="7">
        <f t="shared" si="342"/>
        <v>2180047.8099999996</v>
      </c>
      <c r="BG60" s="7">
        <f t="shared" si="342"/>
        <v>2203877.46</v>
      </c>
      <c r="BH60" s="7">
        <f t="shared" si="342"/>
        <v>2104193.5699999998</v>
      </c>
      <c r="BI60" s="7">
        <f t="shared" si="342"/>
        <v>2116305.62</v>
      </c>
      <c r="BJ60" s="7">
        <f t="shared" si="342"/>
        <v>2033327.6239724141</v>
      </c>
      <c r="BK60" s="7">
        <f t="shared" si="342"/>
        <v>2206857.2228485923</v>
      </c>
      <c r="BL60" s="7">
        <f t="shared" si="342"/>
        <v>2258963.2155744391</v>
      </c>
      <c r="BM60" s="7">
        <f t="shared" si="342"/>
        <v>2152617.6612956664</v>
      </c>
      <c r="BN60" s="7">
        <f t="shared" ref="BN60:CR60" si="343">BN17+BN53</f>
        <v>2309463.0296283457</v>
      </c>
      <c r="BO60" s="7">
        <f t="shared" si="343"/>
        <v>2244162.4836822525</v>
      </c>
      <c r="BP60" s="7">
        <f t="shared" si="343"/>
        <v>2353929.6675293883</v>
      </c>
      <c r="BQ60" s="7">
        <f t="shared" si="343"/>
        <v>2191623.9108911105</v>
      </c>
      <c r="BR60" s="7">
        <f t="shared" si="343"/>
        <v>2157936.0694525782</v>
      </c>
      <c r="BS60" s="7">
        <f t="shared" si="343"/>
        <v>2213972.2277852586</v>
      </c>
      <c r="BT60" s="7">
        <f t="shared" si="343"/>
        <v>2222731.8549572923</v>
      </c>
      <c r="BU60" s="7">
        <f t="shared" si="343"/>
        <v>2162835.7523826635</v>
      </c>
      <c r="BV60" s="7">
        <f t="shared" si="343"/>
        <v>1966406.7000000002</v>
      </c>
      <c r="BW60" s="7">
        <f t="shared" si="343"/>
        <v>2019454.0400000003</v>
      </c>
      <c r="BX60" s="7">
        <f t="shared" si="343"/>
        <v>2101649.96</v>
      </c>
      <c r="BY60" s="7">
        <f t="shared" si="343"/>
        <v>2122103.5373137849</v>
      </c>
      <c r="BZ60" s="7">
        <f t="shared" si="343"/>
        <v>2119280.1078199567</v>
      </c>
      <c r="CA60" s="7">
        <f t="shared" si="343"/>
        <v>0</v>
      </c>
      <c r="CB60" s="7">
        <f t="shared" si="343"/>
        <v>0</v>
      </c>
      <c r="CC60" s="7">
        <f t="shared" si="343"/>
        <v>0</v>
      </c>
      <c r="CD60" s="7">
        <f t="shared" si="343"/>
        <v>0</v>
      </c>
      <c r="CE60" s="7">
        <f t="shared" si="343"/>
        <v>0</v>
      </c>
      <c r="CF60" s="7">
        <f t="shared" si="343"/>
        <v>0</v>
      </c>
      <c r="CG60" s="7">
        <f t="shared" si="343"/>
        <v>0</v>
      </c>
      <c r="CH60" s="7">
        <f t="shared" si="343"/>
        <v>2191239.0075868168</v>
      </c>
      <c r="CI60" s="7">
        <f t="shared" si="343"/>
        <v>2245583.9522832986</v>
      </c>
      <c r="CJ60" s="7">
        <f t="shared" si="343"/>
        <v>2365628.7125243754</v>
      </c>
      <c r="CK60" s="7">
        <f t="shared" si="343"/>
        <v>2434869.6490792693</v>
      </c>
      <c r="CL60" s="7">
        <f t="shared" si="343"/>
        <v>2469919.2385401577</v>
      </c>
      <c r="CM60" s="7">
        <f t="shared" si="343"/>
        <v>2469919.2385401577</v>
      </c>
      <c r="CN60" s="7">
        <f t="shared" si="343"/>
        <v>2485190.275810631</v>
      </c>
      <c r="CO60" s="7">
        <f t="shared" si="343"/>
        <v>2454052.104523336</v>
      </c>
      <c r="CP60" s="7">
        <f t="shared" si="343"/>
        <v>2390298.9115561666</v>
      </c>
      <c r="CQ60" s="7">
        <f t="shared" si="343"/>
        <v>2343590.7803137661</v>
      </c>
      <c r="CR60" s="7">
        <f t="shared" si="343"/>
        <v>2274451.0674033388</v>
      </c>
      <c r="CS60" s="7">
        <f t="shared" ref="CS60" si="344">CS17+CS53</f>
        <v>2262801.6121311979</v>
      </c>
    </row>
    <row r="61" spans="1:97" x14ac:dyDescent="0.3">
      <c r="A61" s="28" t="s">
        <v>58</v>
      </c>
      <c r="B61" s="27">
        <f t="shared" ref="B61" si="345">B60/B8</f>
        <v>1.959860022172949</v>
      </c>
      <c r="C61" s="27">
        <f t="shared" ref="C61" si="346">C60/C8</f>
        <v>2.3398069257142855</v>
      </c>
      <c r="D61" s="27">
        <f t="shared" ref="D61" si="347">D60/D8</f>
        <v>1.7974611759656653</v>
      </c>
      <c r="E61" s="27">
        <f t="shared" ref="E61" si="348">E60/E8</f>
        <v>1.906336336283186</v>
      </c>
      <c r="F61" s="27">
        <f t="shared" ref="F61" si="349">F60/F8</f>
        <v>1.9008735567823343</v>
      </c>
      <c r="G61" s="27">
        <f t="shared" ref="G61" si="350">G60/G8</f>
        <v>2.1974108341511287</v>
      </c>
      <c r="H61" s="27">
        <f t="shared" ref="H61" si="351">H60/H8</f>
        <v>2.0649251781059945</v>
      </c>
      <c r="I61" s="27">
        <f t="shared" ref="I61" si="352">I60/I8</f>
        <v>1.9601769373345104</v>
      </c>
      <c r="J61" s="27">
        <f t="shared" ref="J61" si="353">J60/J8</f>
        <v>2.0787591516709512</v>
      </c>
      <c r="K61" s="27">
        <f t="shared" ref="K61" si="354">K60/K8</f>
        <v>2.1674153956834528</v>
      </c>
      <c r="L61" s="27">
        <f t="shared" ref="L61" si="355">L60/L8</f>
        <v>2.2677664323189921</v>
      </c>
      <c r="M61" s="27">
        <f t="shared" ref="M61" si="356">M60/M8</f>
        <v>3.8738339310472432</v>
      </c>
      <c r="N61" s="27">
        <f t="shared" ref="N61" si="357">N60/N8</f>
        <v>2.149628553022795</v>
      </c>
      <c r="O61" s="27">
        <f t="shared" ref="O61" si="358">O60/O8</f>
        <v>2.5505706287787184</v>
      </c>
      <c r="P61" s="27">
        <f t="shared" ref="P61" si="359">P60/P8</f>
        <v>1.9123081294326241</v>
      </c>
      <c r="Q61" s="27">
        <f t="shared" ref="Q61" si="360">Q60/Q8</f>
        <v>1.9921040604343723</v>
      </c>
      <c r="R61" s="27">
        <f t="shared" ref="R61" si="361">R60/R8</f>
        <v>2.554553841536614</v>
      </c>
      <c r="S61" s="27">
        <f t="shared" ref="S61" si="362">S60/S8</f>
        <v>2.6685923770491802</v>
      </c>
      <c r="T61" s="27">
        <f t="shared" ref="T61" si="363">T60/T8</f>
        <v>2.1390781627906978</v>
      </c>
      <c r="U61" s="27">
        <f t="shared" ref="U61" si="364">U60/U8</f>
        <v>2.2157221928817448</v>
      </c>
      <c r="V61" s="27">
        <f t="shared" ref="V61" si="365">V60/V8</f>
        <v>2.6829593324432577</v>
      </c>
      <c r="W61" s="27">
        <f t="shared" ref="W61" si="366">W60/W8</f>
        <v>2.5436288411458334</v>
      </c>
      <c r="X61" s="27">
        <f t="shared" ref="X61" si="367">X60/X8</f>
        <v>2.0655661538461541</v>
      </c>
      <c r="Y61" s="27">
        <f t="shared" ref="Y61" si="368">Y60/Y8</f>
        <v>3.3391365583213317</v>
      </c>
      <c r="Z61" s="27">
        <f t="shared" ref="Z61" si="369">Z60/Z8</f>
        <v>2.6697098295454547</v>
      </c>
      <c r="AA61" s="27">
        <f t="shared" ref="AA61" si="370">AA60/AA8</f>
        <v>1.9476324096385542</v>
      </c>
      <c r="AB61" s="27">
        <f t="shared" ref="AB61" si="371">AB60/AB8</f>
        <v>1.66026649380805</v>
      </c>
      <c r="AC61" s="27">
        <f t="shared" ref="AC61" si="372">AC60/AC8</f>
        <v>1.91510724137931</v>
      </c>
      <c r="AD61" s="27">
        <f t="shared" ref="AD61" si="373">AD60/AD8</f>
        <v>2.3801925785482125</v>
      </c>
      <c r="AE61" s="27">
        <f t="shared" ref="AE61" si="374">AE60/AE8</f>
        <v>2.0235747232472323</v>
      </c>
      <c r="AF61" s="27">
        <f t="shared" ref="AF61" si="375">AF60/AF8</f>
        <v>1.8596488360237895</v>
      </c>
      <c r="AG61" s="27">
        <f t="shared" ref="AG61" si="376">AG60/AG8</f>
        <v>1.8796719381787799</v>
      </c>
      <c r="AH61" s="27">
        <f t="shared" ref="AH61" si="377">AH60/AH8</f>
        <v>2.1845211758989311</v>
      </c>
      <c r="AI61" s="27">
        <f t="shared" ref="AI61" si="378">AI60/AI8</f>
        <v>2.5571158358974357</v>
      </c>
      <c r="AJ61" s="27">
        <f t="shared" ref="AJ61" si="379">AJ60/AJ8</f>
        <v>2.8951814248366015</v>
      </c>
      <c r="AK61" s="27">
        <f t="shared" ref="AK61" si="380">AK60/AK8</f>
        <v>3.0765224831309044</v>
      </c>
      <c r="AL61" s="27">
        <f t="shared" ref="AL61" si="381">AL60/AL8</f>
        <v>2.1117374661105317</v>
      </c>
      <c r="AM61" s="27">
        <f t="shared" ref="AM61" si="382">AM60/AM8</f>
        <v>2.225350763673891</v>
      </c>
      <c r="AN61" s="27">
        <f t="shared" ref="AN61" si="383">AN60/AN8</f>
        <v>2.0801376562499998</v>
      </c>
      <c r="AO61" s="27">
        <f t="shared" ref="AO61" si="384">AO60/AO8</f>
        <v>2.256994853090172</v>
      </c>
      <c r="AP61" s="27">
        <f t="shared" ref="AP61" si="385">AP60/AP8</f>
        <v>2.3238454356846474</v>
      </c>
      <c r="AQ61" s="27">
        <f t="shared" ref="AQ61" si="386">AQ60/AQ8</f>
        <v>2.6054379249217932</v>
      </c>
      <c r="AR61" s="27">
        <f t="shared" ref="AR61" si="387">AR60/AR8</f>
        <v>1.8350727951807229</v>
      </c>
      <c r="AS61" s="27">
        <f t="shared" ref="AS61" si="388">AS60/AS8</f>
        <v>2.2863544424620876</v>
      </c>
      <c r="AT61" s="27">
        <f t="shared" ref="AT61" si="389">AT60/AT8</f>
        <v>2.3003907569721114</v>
      </c>
      <c r="AU61" s="27">
        <f t="shared" ref="AU61" si="390">AU60/AU8</f>
        <v>2.0052825464190978</v>
      </c>
      <c r="AV61" s="27">
        <f t="shared" ref="AV61" si="391">AV60/AV8</f>
        <v>2.8454819726027396</v>
      </c>
      <c r="AW61" s="27">
        <f t="shared" ref="AW61" si="392">AW60/AW8</f>
        <v>3.2580697865853656</v>
      </c>
      <c r="AX61" s="27">
        <f t="shared" ref="AX61" si="393">AX60/AX8</f>
        <v>2.235653140589569</v>
      </c>
      <c r="AY61" s="27">
        <f t="shared" ref="AY61" si="394">AY60/AY8</f>
        <v>2.4614010898876399</v>
      </c>
      <c r="AZ61" s="27">
        <f t="shared" ref="AZ61" si="395">AZ60/AZ8</f>
        <v>2.2165874248496995</v>
      </c>
      <c r="BA61" s="27">
        <f t="shared" ref="BA61" si="396">BA60/BA8</f>
        <v>2.3715847516198698</v>
      </c>
      <c r="BB61" s="27">
        <f t="shared" ref="BB61" si="397">BB60/BB8</f>
        <v>2.0986450185185186</v>
      </c>
      <c r="BC61" s="27">
        <f t="shared" ref="BC61" si="398">BC60/BC8</f>
        <v>2.3475217277486911</v>
      </c>
      <c r="BD61" s="27">
        <f t="shared" ref="BD61" si="399">BD60/BD8</f>
        <v>2.0947618579234972</v>
      </c>
      <c r="BE61" s="27">
        <f t="shared" ref="BE61" si="400">BE60/BE8</f>
        <v>1.94106190028222</v>
      </c>
      <c r="BF61" s="27">
        <f t="shared" ref="BF61" si="401">BF60/BF8</f>
        <v>2.6781914127764122</v>
      </c>
      <c r="BG61" s="27">
        <f t="shared" ref="BG61" si="402">BG60/BG8</f>
        <v>2.2261388484848483</v>
      </c>
      <c r="BH61" s="27">
        <f t="shared" ref="BH61" si="403">BH60/BH8</f>
        <v>2.3911290568181816</v>
      </c>
      <c r="BI61" s="27">
        <f t="shared" ref="BI61" si="404">BI60/BI8</f>
        <v>3.7258901760563381</v>
      </c>
      <c r="BJ61" s="27">
        <f t="shared" ref="BJ61" si="405">BJ60/BJ8</f>
        <v>2.0727090968118391</v>
      </c>
      <c r="BK61" s="27">
        <f t="shared" ref="BK61" si="406">BK60/BK8</f>
        <v>2.2112797824134192</v>
      </c>
      <c r="BL61" s="27">
        <f t="shared" ref="BL61" si="407">BL60/BL8</f>
        <v>1.7565810385493306</v>
      </c>
      <c r="BM61" s="27">
        <f t="shared" ref="BM61" si="408">BM60/BM8</f>
        <v>2.2032934097192083</v>
      </c>
      <c r="BN61" s="27">
        <f t="shared" ref="BN61" si="409">BN60/BN8</f>
        <v>2.0824734261752442</v>
      </c>
      <c r="BO61" s="27">
        <f t="shared" ref="BO61" si="410">BO60/BO8</f>
        <v>2.4078996606032752</v>
      </c>
      <c r="BP61" s="27">
        <f t="shared" ref="BP61" si="411">BP60/BP8</f>
        <v>1.7321042439509848</v>
      </c>
      <c r="BQ61" s="27">
        <f t="shared" ref="BQ61" si="412">BQ60/BQ8</f>
        <v>2.0274041728872438</v>
      </c>
      <c r="BR61" s="27">
        <f t="shared" ref="BR61" si="413">BR60/BR8</f>
        <v>2.3792018406312878</v>
      </c>
      <c r="BS61" s="27">
        <f t="shared" ref="BS61" si="414">BS60/BS8</f>
        <v>2.1308683616797484</v>
      </c>
      <c r="BT61" s="27">
        <f t="shared" ref="BT61" si="415">BT60/BT8</f>
        <v>2.2797249794433769</v>
      </c>
      <c r="BU61" s="27">
        <f t="shared" ref="BU61" si="416">BU60/BU8</f>
        <v>2.8953624529888402</v>
      </c>
      <c r="BV61" s="27">
        <f t="shared" ref="BV61" si="417">BV60/BV8</f>
        <v>2.2020231802911536</v>
      </c>
      <c r="BW61" s="27">
        <f t="shared" ref="BW61" si="418">BW60/BW8</f>
        <v>2.6998048663101608</v>
      </c>
      <c r="BX61" s="27">
        <f t="shared" ref="BX61" si="419">BX60/BX8</f>
        <v>2.1336547817258884</v>
      </c>
      <c r="BY61" s="27">
        <f t="shared" ref="BY61" si="420">BY60/BY8</f>
        <v>2.3294221046254502</v>
      </c>
      <c r="BZ61" s="27">
        <f t="shared" ref="BZ61" si="421">BZ60/BZ8</f>
        <v>2.0535659959495707</v>
      </c>
      <c r="CA61" s="27" t="e">
        <f t="shared" ref="CA61" si="422">CA60/CA8</f>
        <v>#DIV/0!</v>
      </c>
      <c r="CB61" s="27" t="e">
        <f t="shared" ref="CB61" si="423">CB60/CB8</f>
        <v>#DIV/0!</v>
      </c>
      <c r="CC61" s="27" t="e">
        <f t="shared" ref="CC61" si="424">CC60/CC8</f>
        <v>#DIV/0!</v>
      </c>
      <c r="CD61" s="27" t="e">
        <f t="shared" ref="CD61" si="425">CD60/CD8</f>
        <v>#DIV/0!</v>
      </c>
      <c r="CE61" s="27" t="e">
        <f t="shared" ref="CE61" si="426">CE60/CE8</f>
        <v>#DIV/0!</v>
      </c>
      <c r="CF61" s="27" t="e">
        <f t="shared" ref="CF61" si="427">CF60/CF8</f>
        <v>#DIV/0!</v>
      </c>
      <c r="CG61" s="27" t="e">
        <f t="shared" ref="CG61" si="428">CG60/CG8</f>
        <v>#DIV/0!</v>
      </c>
      <c r="CH61" s="27">
        <f t="shared" ref="CH61" si="429">CH60/CH8</f>
        <v>2.1232936120027293</v>
      </c>
      <c r="CI61" s="27">
        <f t="shared" ref="CI61" si="430">CI60/CI8</f>
        <v>2.0696626288325333</v>
      </c>
      <c r="CJ61" s="27">
        <f t="shared" ref="CJ61" si="431">CJ60/CJ8</f>
        <v>1.9232753760360777</v>
      </c>
      <c r="CK61" s="27">
        <f t="shared" ref="CK61" si="432">CK60/CK8</f>
        <v>1.8488000372659599</v>
      </c>
      <c r="CL61" s="27">
        <f t="shared" ref="CL61" si="433">CL60/CL8</f>
        <v>1.8241648733679157</v>
      </c>
      <c r="CM61" s="27">
        <f t="shared" ref="CM61" si="434">CM60/CM8</f>
        <v>1.8241648733679157</v>
      </c>
      <c r="CN61" s="27">
        <f t="shared" ref="CN61" si="435">CN60/CN8</f>
        <v>1.8300370219518638</v>
      </c>
      <c r="CO61" s="27">
        <f t="shared" ref="CO61" si="436">CO60/CO8</f>
        <v>1.8272912170687536</v>
      </c>
      <c r="CP61" s="27">
        <f t="shared" ref="CP61" si="437">CP60/CP8</f>
        <v>1.894056189822636</v>
      </c>
      <c r="CQ61" s="27">
        <f t="shared" ref="CQ61" si="438">CQ60/CQ8</f>
        <v>1.9368518845568314</v>
      </c>
      <c r="CR61" s="27">
        <f t="shared" ref="CR61" si="439">CR60/CR8</f>
        <v>2.0398664281644296</v>
      </c>
      <c r="CS61" s="27">
        <f t="shared" ref="CS61" si="440">CS60/CS8</f>
        <v>2.0570923746647254</v>
      </c>
    </row>
    <row r="67" spans="1:97" x14ac:dyDescent="0.3">
      <c r="A67" s="16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</row>
    <row r="68" spans="1:97" x14ac:dyDescent="0.3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</row>
    <row r="69" spans="1:97" x14ac:dyDescent="0.3">
      <c r="A69" s="1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</row>
    <row r="70" spans="1:97" x14ac:dyDescent="0.3">
      <c r="A70" s="16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</row>
    <row r="71" spans="1:97" x14ac:dyDescent="0.3">
      <c r="A71" s="16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5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5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5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</row>
    <row r="72" spans="1:97" x14ac:dyDescent="0.3">
      <c r="A72" s="19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7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7"/>
      <c r="BN72" s="15"/>
      <c r="BO72" s="15"/>
      <c r="BP72" s="15"/>
      <c r="BQ72" s="15"/>
      <c r="BR72" s="17"/>
      <c r="BS72" s="15"/>
      <c r="BT72" s="15"/>
      <c r="BU72" s="15"/>
      <c r="BV72" s="15"/>
      <c r="BW72" s="15"/>
      <c r="BX72" s="15"/>
      <c r="BY72" s="17"/>
      <c r="BZ72" s="15"/>
      <c r="CA72" s="15"/>
      <c r="CB72" s="15"/>
      <c r="CC72" s="15"/>
      <c r="CD72" s="15"/>
      <c r="CE72" s="15"/>
      <c r="CF72" s="15"/>
      <c r="CG72" s="15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</row>
    <row r="73" spans="1:97" x14ac:dyDescent="0.3">
      <c r="A73" s="19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20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20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20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</row>
    <row r="74" spans="1:97" x14ac:dyDescent="0.3">
      <c r="A74" s="19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7"/>
      <c r="AM74" s="17"/>
      <c r="AN74" s="20"/>
      <c r="AO74" s="20"/>
      <c r="AP74" s="20"/>
      <c r="AQ74" s="20"/>
      <c r="AR74" s="20"/>
      <c r="AS74" s="20"/>
      <c r="AT74" s="20"/>
      <c r="AU74" s="20"/>
      <c r="AV74" s="20"/>
      <c r="AW74" s="15"/>
      <c r="AX74" s="17"/>
      <c r="AY74" s="17"/>
      <c r="AZ74" s="20"/>
      <c r="BA74" s="17"/>
      <c r="BB74" s="17"/>
      <c r="BC74" s="17"/>
      <c r="BD74" s="17"/>
      <c r="BE74" s="17"/>
      <c r="BF74" s="17"/>
      <c r="BG74" s="17"/>
      <c r="BH74" s="17"/>
      <c r="BI74" s="15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5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</row>
    <row r="75" spans="1:97" x14ac:dyDescent="0.3">
      <c r="A75" s="19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20"/>
      <c r="AM75" s="20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20"/>
      <c r="AY75" s="20"/>
      <c r="AZ75" s="17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Salloum : IP-PMD-MGT</dc:creator>
  <cp:lastModifiedBy>Camille Salloum : IP-PMD-MGT</cp:lastModifiedBy>
  <dcterms:created xsi:type="dcterms:W3CDTF">2025-04-29T06:23:24Z</dcterms:created>
  <dcterms:modified xsi:type="dcterms:W3CDTF">2025-11-24T11:43:58Z</dcterms:modified>
</cp:coreProperties>
</file>