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D:\Projects\IPD26.10\server\data\"/>
    </mc:Choice>
  </mc:AlternateContent>
  <xr:revisionPtr revIDLastSave="0" documentId="13_ncr:1_{81F6CA98-4F35-403C-A3D1-012544FF3699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B" sheetId="5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S57" i="5" l="1"/>
  <c r="CR57" i="5"/>
  <c r="CQ57" i="5"/>
  <c r="CP57" i="5"/>
  <c r="CO57" i="5"/>
  <c r="CN57" i="5"/>
  <c r="CM57" i="5"/>
  <c r="CL57" i="5"/>
  <c r="CK57" i="5"/>
  <c r="CJ57" i="5"/>
  <c r="CI57" i="5"/>
  <c r="CH57" i="5"/>
  <c r="CG57" i="5"/>
  <c r="CF57" i="5"/>
  <c r="CE57" i="5"/>
  <c r="CD57" i="5"/>
  <c r="CC57" i="5"/>
  <c r="CB57" i="5"/>
  <c r="CA57" i="5"/>
  <c r="BZ57" i="5"/>
  <c r="BY57" i="5"/>
  <c r="BX57" i="5"/>
  <c r="BW57" i="5"/>
  <c r="BV57" i="5"/>
  <c r="BU57" i="5"/>
  <c r="BT57" i="5"/>
  <c r="BS57" i="5"/>
  <c r="BR57" i="5"/>
  <c r="BQ57" i="5"/>
  <c r="BP57" i="5"/>
  <c r="BO57" i="5"/>
  <c r="BN57" i="5"/>
  <c r="BM57" i="5"/>
  <c r="BL57" i="5"/>
  <c r="BK57" i="5"/>
  <c r="BJ57" i="5"/>
  <c r="BI57" i="5"/>
  <c r="BH57" i="5"/>
  <c r="BG57" i="5"/>
  <c r="BF57" i="5"/>
  <c r="BE57" i="5"/>
  <c r="BD57" i="5"/>
  <c r="BC57" i="5"/>
  <c r="BB57" i="5"/>
  <c r="BA57" i="5"/>
  <c r="AZ57" i="5"/>
  <c r="AY57" i="5"/>
  <c r="AX57" i="5"/>
  <c r="AW57" i="5"/>
  <c r="AV57" i="5"/>
  <c r="AU57" i="5"/>
  <c r="AT57" i="5"/>
  <c r="AS57" i="5"/>
  <c r="AR57" i="5"/>
  <c r="AQ57" i="5"/>
  <c r="AP57" i="5"/>
  <c r="AO57" i="5"/>
  <c r="AN57" i="5"/>
  <c r="AM57" i="5"/>
  <c r="AL57" i="5"/>
  <c r="AK57" i="5"/>
  <c r="AJ57" i="5"/>
  <c r="AI57" i="5"/>
  <c r="AH57" i="5"/>
  <c r="AG57" i="5"/>
  <c r="AF57" i="5"/>
  <c r="AE57" i="5"/>
  <c r="AD57" i="5"/>
  <c r="AC57" i="5"/>
  <c r="AB57" i="5"/>
  <c r="AA57" i="5"/>
  <c r="Z57" i="5"/>
  <c r="Y57" i="5"/>
  <c r="X57" i="5"/>
  <c r="W57" i="5"/>
  <c r="V57" i="5"/>
  <c r="U57" i="5"/>
  <c r="T57" i="5"/>
  <c r="S57" i="5"/>
  <c r="R57" i="5"/>
  <c r="Q57" i="5"/>
  <c r="P57" i="5"/>
  <c r="O57" i="5"/>
  <c r="N57" i="5"/>
  <c r="M57" i="5"/>
  <c r="L57" i="5"/>
  <c r="K57" i="5"/>
  <c r="J57" i="5"/>
  <c r="I57" i="5"/>
  <c r="H57" i="5"/>
  <c r="G57" i="5"/>
  <c r="F57" i="5"/>
  <c r="E57" i="5"/>
  <c r="D57" i="5"/>
  <c r="C57" i="5"/>
  <c r="B57" i="5"/>
  <c r="B53" i="5"/>
  <c r="B47" i="5"/>
  <c r="CS53" i="5"/>
  <c r="CR53" i="5"/>
  <c r="CQ53" i="5"/>
  <c r="CP53" i="5"/>
  <c r="CO53" i="5"/>
  <c r="CN53" i="5"/>
  <c r="CM53" i="5"/>
  <c r="CL53" i="5"/>
  <c r="CK53" i="5"/>
  <c r="CJ53" i="5"/>
  <c r="CI53" i="5"/>
  <c r="CH53" i="5"/>
  <c r="CG53" i="5"/>
  <c r="CF53" i="5"/>
  <c r="CE53" i="5"/>
  <c r="CD53" i="5"/>
  <c r="CC53" i="5"/>
  <c r="CB53" i="5"/>
  <c r="CA53" i="5"/>
  <c r="BZ53" i="5"/>
  <c r="BY53" i="5"/>
  <c r="BX53" i="5"/>
  <c r="BW53" i="5"/>
  <c r="BV53" i="5"/>
  <c r="BU53" i="5"/>
  <c r="BT53" i="5"/>
  <c r="BS53" i="5"/>
  <c r="BR53" i="5"/>
  <c r="BQ53" i="5"/>
  <c r="BP53" i="5"/>
  <c r="BO53" i="5"/>
  <c r="BN53" i="5"/>
  <c r="BM53" i="5"/>
  <c r="BL53" i="5"/>
  <c r="BK53" i="5"/>
  <c r="BJ53" i="5"/>
  <c r="BI53" i="5"/>
  <c r="BH53" i="5"/>
  <c r="BG53" i="5"/>
  <c r="BF53" i="5"/>
  <c r="BE53" i="5"/>
  <c r="BD53" i="5"/>
  <c r="BC53" i="5"/>
  <c r="BB53" i="5"/>
  <c r="BA53" i="5"/>
  <c r="AZ53" i="5"/>
  <c r="AY53" i="5"/>
  <c r="AX53" i="5"/>
  <c r="AW53" i="5"/>
  <c r="AV53" i="5"/>
  <c r="AU53" i="5"/>
  <c r="AT53" i="5"/>
  <c r="AS53" i="5"/>
  <c r="AR53" i="5"/>
  <c r="AQ53" i="5"/>
  <c r="AP53" i="5"/>
  <c r="AO53" i="5"/>
  <c r="AN53" i="5"/>
  <c r="AM53" i="5"/>
  <c r="AL53" i="5"/>
  <c r="AK53" i="5"/>
  <c r="AJ53" i="5"/>
  <c r="AI53" i="5"/>
  <c r="AH53" i="5"/>
  <c r="AG53" i="5"/>
  <c r="AF53" i="5"/>
  <c r="AE53" i="5"/>
  <c r="AD53" i="5"/>
  <c r="AC53" i="5"/>
  <c r="AB53" i="5"/>
  <c r="AA53" i="5"/>
  <c r="Z53" i="5"/>
  <c r="Y53" i="5"/>
  <c r="X53" i="5"/>
  <c r="W53" i="5"/>
  <c r="V53" i="5"/>
  <c r="U53" i="5"/>
  <c r="T53" i="5"/>
  <c r="S53" i="5"/>
  <c r="R53" i="5"/>
  <c r="Q53" i="5"/>
  <c r="P53" i="5"/>
  <c r="O53" i="5"/>
  <c r="N53" i="5"/>
  <c r="M53" i="5"/>
  <c r="L53" i="5"/>
  <c r="K53" i="5"/>
  <c r="J53" i="5"/>
  <c r="I53" i="5"/>
  <c r="H53" i="5"/>
  <c r="G53" i="5"/>
  <c r="F53" i="5"/>
  <c r="E53" i="5"/>
  <c r="D53" i="5"/>
  <c r="C53" i="5"/>
  <c r="CA55" i="5" l="1"/>
  <c r="CB55" i="5"/>
  <c r="CE55" i="5"/>
  <c r="CF55" i="5"/>
  <c r="CG55" i="5"/>
  <c r="CI55" i="5"/>
  <c r="CJ55" i="5"/>
  <c r="CN55" i="5"/>
  <c r="CO60" i="5"/>
  <c r="CO61" i="5" s="1"/>
  <c r="CQ55" i="5"/>
  <c r="CR55" i="5"/>
  <c r="CC55" i="5"/>
  <c r="CC56" i="5" s="1"/>
  <c r="CD55" i="5"/>
  <c r="CD56" i="5" s="1"/>
  <c r="CH55" i="5"/>
  <c r="CH58" i="5" s="1"/>
  <c r="CK55" i="5"/>
  <c r="CK56" i="5" s="1"/>
  <c r="CL55" i="5"/>
  <c r="CL56" i="5" s="1"/>
  <c r="CM55" i="5"/>
  <c r="CM56" i="5" s="1"/>
  <c r="CP55" i="5"/>
  <c r="CP58" i="5" s="1"/>
  <c r="CS55" i="5"/>
  <c r="CS56" i="5" s="1"/>
  <c r="CP56" i="5"/>
  <c r="CA60" i="5"/>
  <c r="CA61" i="5" s="1"/>
  <c r="CB60" i="5"/>
  <c r="CB61" i="5" s="1"/>
  <c r="CC60" i="5"/>
  <c r="CC61" i="5" s="1"/>
  <c r="CD60" i="5"/>
  <c r="CD61" i="5" s="1"/>
  <c r="CE60" i="5"/>
  <c r="CE61" i="5" s="1"/>
  <c r="CH60" i="5"/>
  <c r="CH61" i="5" s="1"/>
  <c r="CI60" i="5"/>
  <c r="CI61" i="5" s="1"/>
  <c r="CJ60" i="5"/>
  <c r="CJ61" i="5" s="1"/>
  <c r="CK60" i="5"/>
  <c r="CK61" i="5" s="1"/>
  <c r="CL60" i="5"/>
  <c r="CM60" i="5"/>
  <c r="CP60" i="5"/>
  <c r="CP61" i="5" s="1"/>
  <c r="CQ60" i="5"/>
  <c r="CQ61" i="5" s="1"/>
  <c r="CR60" i="5"/>
  <c r="CR61" i="5" s="1"/>
  <c r="CS60" i="5"/>
  <c r="CS61" i="5" s="1"/>
  <c r="CL61" i="5"/>
  <c r="CM61" i="5"/>
  <c r="BZ7" i="5"/>
  <c r="BZ15" i="5"/>
  <c r="BZ17" i="5" s="1"/>
  <c r="BZ5" i="5" s="1"/>
  <c r="BZ32" i="5"/>
  <c r="BZ39" i="5"/>
  <c r="BZ41" i="5"/>
  <c r="BZ47" i="5"/>
  <c r="CH56" i="5" l="1"/>
  <c r="CM58" i="5"/>
  <c r="CR58" i="5"/>
  <c r="CR56" i="5"/>
  <c r="CB58" i="5"/>
  <c r="CB56" i="5"/>
  <c r="CQ58" i="5"/>
  <c r="CQ56" i="5"/>
  <c r="CI58" i="5"/>
  <c r="CI56" i="5"/>
  <c r="CG56" i="5"/>
  <c r="CG58" i="5"/>
  <c r="CN56" i="5"/>
  <c r="CN58" i="5"/>
  <c r="CF56" i="5"/>
  <c r="CF58" i="5"/>
  <c r="CE58" i="5"/>
  <c r="CE56" i="5"/>
  <c r="CJ58" i="5"/>
  <c r="CJ56" i="5"/>
  <c r="CA58" i="5"/>
  <c r="CA56" i="5"/>
  <c r="CN60" i="5"/>
  <c r="CN61" i="5" s="1"/>
  <c r="CF60" i="5"/>
  <c r="CF61" i="5" s="1"/>
  <c r="CL58" i="5"/>
  <c r="CD58" i="5"/>
  <c r="CS58" i="5"/>
  <c r="CK58" i="5"/>
  <c r="CC58" i="5"/>
  <c r="CG60" i="5"/>
  <c r="CG61" i="5" s="1"/>
  <c r="CO55" i="5"/>
  <c r="BZ60" i="5"/>
  <c r="BZ61" i="5" s="1"/>
  <c r="BZ20" i="5"/>
  <c r="BZ19" i="5"/>
  <c r="CO56" i="5" l="1"/>
  <c r="CO58" i="5"/>
  <c r="BZ21" i="5"/>
  <c r="BZ55" i="5"/>
  <c r="BZ22" i="5"/>
  <c r="BZ23" i="5" s="1"/>
  <c r="BZ58" i="5" l="1"/>
  <c r="BZ56" i="5"/>
  <c r="CH47" i="5" l="1"/>
  <c r="CS47" i="5" l="1"/>
  <c r="CR47" i="5"/>
  <c r="CQ47" i="5"/>
  <c r="CP47" i="5"/>
  <c r="CO47" i="5"/>
  <c r="CN47" i="5"/>
  <c r="CM47" i="5"/>
  <c r="CL47" i="5"/>
  <c r="CK47" i="5"/>
  <c r="CJ47" i="5"/>
  <c r="CI47" i="5"/>
  <c r="BY47" i="5"/>
  <c r="BX47" i="5"/>
  <c r="BW47" i="5"/>
  <c r="BV47" i="5"/>
  <c r="BU47" i="5"/>
  <c r="BT47" i="5"/>
  <c r="BS47" i="5"/>
  <c r="BR47" i="5"/>
  <c r="BQ47" i="5"/>
  <c r="BP47" i="5"/>
  <c r="BO47" i="5"/>
  <c r="BN47" i="5"/>
  <c r="BM47" i="5"/>
  <c r="BL47" i="5"/>
  <c r="BK47" i="5"/>
  <c r="BJ47" i="5"/>
  <c r="BI47" i="5"/>
  <c r="BH47" i="5"/>
  <c r="BG47" i="5"/>
  <c r="BF47" i="5"/>
  <c r="BE47" i="5"/>
  <c r="BD47" i="5"/>
  <c r="BC47" i="5"/>
  <c r="BB47" i="5"/>
  <c r="BA47" i="5"/>
  <c r="AZ47" i="5"/>
  <c r="AY47" i="5"/>
  <c r="AX47" i="5"/>
  <c r="AW47" i="5"/>
  <c r="AV47" i="5"/>
  <c r="AU47" i="5"/>
  <c r="AT47" i="5"/>
  <c r="AS47" i="5"/>
  <c r="AR47" i="5"/>
  <c r="AQ47" i="5"/>
  <c r="AP47" i="5"/>
  <c r="AO47" i="5"/>
  <c r="AN47" i="5"/>
  <c r="AM47" i="5"/>
  <c r="AL47" i="5"/>
  <c r="AK47" i="5"/>
  <c r="AJ47" i="5"/>
  <c r="AI47" i="5"/>
  <c r="AH47" i="5"/>
  <c r="AG47" i="5"/>
  <c r="AF47" i="5"/>
  <c r="AE47" i="5"/>
  <c r="AD47" i="5"/>
  <c r="AC47" i="5"/>
  <c r="AB47" i="5"/>
  <c r="AA47" i="5"/>
  <c r="Z47" i="5"/>
  <c r="Y47" i="5"/>
  <c r="X47" i="5"/>
  <c r="W47" i="5"/>
  <c r="V47" i="5"/>
  <c r="U47" i="5"/>
  <c r="T47" i="5"/>
  <c r="S47" i="5"/>
  <c r="R47" i="5"/>
  <c r="Q47" i="5"/>
  <c r="P47" i="5"/>
  <c r="O47" i="5"/>
  <c r="N47" i="5"/>
  <c r="M47" i="5"/>
  <c r="L47" i="5"/>
  <c r="K47" i="5"/>
  <c r="J47" i="5"/>
  <c r="I47" i="5"/>
  <c r="H47" i="5"/>
  <c r="G47" i="5"/>
  <c r="F47" i="5"/>
  <c r="E47" i="5"/>
  <c r="D47" i="5"/>
  <c r="C47" i="5"/>
  <c r="CS39" i="5"/>
  <c r="CR39" i="5"/>
  <c r="CQ39" i="5"/>
  <c r="CP39" i="5"/>
  <c r="CO39" i="5"/>
  <c r="CN39" i="5"/>
  <c r="CM39" i="5"/>
  <c r="CL39" i="5"/>
  <c r="CK39" i="5"/>
  <c r="CJ39" i="5"/>
  <c r="CI39" i="5"/>
  <c r="CH39" i="5"/>
  <c r="BY39" i="5"/>
  <c r="BY41" i="5" s="1"/>
  <c r="BX39" i="5"/>
  <c r="BX41" i="5" s="1"/>
  <c r="BW39" i="5"/>
  <c r="BW41" i="5" s="1"/>
  <c r="BV39" i="5"/>
  <c r="BV41" i="5" s="1"/>
  <c r="BU39" i="5"/>
  <c r="BU41" i="5" s="1"/>
  <c r="BT39" i="5"/>
  <c r="BT41" i="5" s="1"/>
  <c r="BS39" i="5"/>
  <c r="BS41" i="5" s="1"/>
  <c r="BR39" i="5"/>
  <c r="BR41" i="5" s="1"/>
  <c r="BQ39" i="5"/>
  <c r="BQ41" i="5" s="1"/>
  <c r="BP39" i="5"/>
  <c r="BP41" i="5" s="1"/>
  <c r="BO39" i="5"/>
  <c r="BO41" i="5" s="1"/>
  <c r="BN39" i="5"/>
  <c r="BN41" i="5" s="1"/>
  <c r="BM39" i="5"/>
  <c r="BM41" i="5" s="1"/>
  <c r="BL39" i="5"/>
  <c r="BL41" i="5" s="1"/>
  <c r="BK39" i="5"/>
  <c r="BK41" i="5" s="1"/>
  <c r="BJ39" i="5"/>
  <c r="BJ41" i="5" s="1"/>
  <c r="BI39" i="5"/>
  <c r="BI41" i="5" s="1"/>
  <c r="BH39" i="5"/>
  <c r="BH41" i="5" s="1"/>
  <c r="BG39" i="5"/>
  <c r="BG41" i="5" s="1"/>
  <c r="BF39" i="5"/>
  <c r="BF41" i="5" s="1"/>
  <c r="BE39" i="5"/>
  <c r="BE41" i="5" s="1"/>
  <c r="BD39" i="5"/>
  <c r="BD41" i="5" s="1"/>
  <c r="BC39" i="5"/>
  <c r="BC41" i="5" s="1"/>
  <c r="BB39" i="5"/>
  <c r="BB41" i="5" s="1"/>
  <c r="BA39" i="5"/>
  <c r="BA41" i="5" s="1"/>
  <c r="AZ39" i="5"/>
  <c r="AZ41" i="5" s="1"/>
  <c r="AY39" i="5"/>
  <c r="AY41" i="5" s="1"/>
  <c r="AX39" i="5"/>
  <c r="AX41" i="5" s="1"/>
  <c r="AW39" i="5"/>
  <c r="AW41" i="5" s="1"/>
  <c r="AV39" i="5"/>
  <c r="AV41" i="5" s="1"/>
  <c r="AU39" i="5"/>
  <c r="AU41" i="5" s="1"/>
  <c r="AT39" i="5"/>
  <c r="AT41" i="5" s="1"/>
  <c r="AS39" i="5"/>
  <c r="AS41" i="5" s="1"/>
  <c r="AR39" i="5"/>
  <c r="AR41" i="5" s="1"/>
  <c r="AQ39" i="5"/>
  <c r="AQ41" i="5" s="1"/>
  <c r="AP39" i="5"/>
  <c r="AP41" i="5" s="1"/>
  <c r="AO39" i="5"/>
  <c r="AO41" i="5" s="1"/>
  <c r="AN39" i="5"/>
  <c r="AN41" i="5" s="1"/>
  <c r="AM39" i="5"/>
  <c r="AM41" i="5" s="1"/>
  <c r="AL39" i="5"/>
  <c r="AL41" i="5" s="1"/>
  <c r="AK39" i="5"/>
  <c r="AK41" i="5" s="1"/>
  <c r="AJ39" i="5"/>
  <c r="AJ41" i="5" s="1"/>
  <c r="AI39" i="5"/>
  <c r="AI41" i="5" s="1"/>
  <c r="AH39" i="5"/>
  <c r="AH41" i="5" s="1"/>
  <c r="AG39" i="5"/>
  <c r="AG41" i="5" s="1"/>
  <c r="AF39" i="5"/>
  <c r="AF41" i="5" s="1"/>
  <c r="AE39" i="5"/>
  <c r="AE41" i="5" s="1"/>
  <c r="AD39" i="5"/>
  <c r="AD41" i="5" s="1"/>
  <c r="AC39" i="5"/>
  <c r="AC41" i="5" s="1"/>
  <c r="AB39" i="5"/>
  <c r="AB41" i="5" s="1"/>
  <c r="AA39" i="5"/>
  <c r="AA41" i="5" s="1"/>
  <c r="Z39" i="5"/>
  <c r="Z41" i="5" s="1"/>
  <c r="Y39" i="5"/>
  <c r="Y41" i="5" s="1"/>
  <c r="X39" i="5"/>
  <c r="X41" i="5" s="1"/>
  <c r="W39" i="5"/>
  <c r="W41" i="5" s="1"/>
  <c r="V39" i="5"/>
  <c r="V41" i="5" s="1"/>
  <c r="U39" i="5"/>
  <c r="U41" i="5" s="1"/>
  <c r="T39" i="5"/>
  <c r="T41" i="5" s="1"/>
  <c r="S39" i="5"/>
  <c r="S41" i="5" s="1"/>
  <c r="R39" i="5"/>
  <c r="R41" i="5" s="1"/>
  <c r="Q39" i="5"/>
  <c r="Q41" i="5" s="1"/>
  <c r="P39" i="5"/>
  <c r="P41" i="5" s="1"/>
  <c r="O39" i="5"/>
  <c r="O41" i="5" s="1"/>
  <c r="N39" i="5"/>
  <c r="N41" i="5" s="1"/>
  <c r="M39" i="5"/>
  <c r="M41" i="5" s="1"/>
  <c r="L39" i="5"/>
  <c r="L41" i="5" s="1"/>
  <c r="K39" i="5"/>
  <c r="K41" i="5" s="1"/>
  <c r="J39" i="5"/>
  <c r="J41" i="5" s="1"/>
  <c r="I39" i="5"/>
  <c r="I41" i="5" s="1"/>
  <c r="H39" i="5"/>
  <c r="H41" i="5" s="1"/>
  <c r="G39" i="5"/>
  <c r="G41" i="5" s="1"/>
  <c r="F39" i="5"/>
  <c r="F41" i="5" s="1"/>
  <c r="E39" i="5"/>
  <c r="E41" i="5" s="1"/>
  <c r="D39" i="5"/>
  <c r="D41" i="5" s="1"/>
  <c r="C39" i="5"/>
  <c r="C41" i="5" s="1"/>
  <c r="B39" i="5"/>
  <c r="B41" i="5" s="1"/>
  <c r="BY32" i="5"/>
  <c r="BX32" i="5"/>
  <c r="BW32" i="5"/>
  <c r="BV32" i="5"/>
  <c r="BU32" i="5"/>
  <c r="BT32" i="5"/>
  <c r="BS32" i="5"/>
  <c r="BR32" i="5"/>
  <c r="BQ32" i="5"/>
  <c r="BP32" i="5"/>
  <c r="BO32" i="5"/>
  <c r="BN32" i="5"/>
  <c r="BM32" i="5"/>
  <c r="BL32" i="5"/>
  <c r="BK32" i="5"/>
  <c r="BJ32" i="5"/>
  <c r="BI32" i="5"/>
  <c r="BH32" i="5"/>
  <c r="BG32" i="5"/>
  <c r="BF32" i="5"/>
  <c r="BE32" i="5"/>
  <c r="BD32" i="5"/>
  <c r="BC32" i="5"/>
  <c r="BB32" i="5"/>
  <c r="BA32" i="5"/>
  <c r="AZ32" i="5"/>
  <c r="AY32" i="5"/>
  <c r="AX32" i="5"/>
  <c r="AW32" i="5"/>
  <c r="AV32" i="5"/>
  <c r="AU32" i="5"/>
  <c r="AT32" i="5"/>
  <c r="AS32" i="5"/>
  <c r="AR32" i="5"/>
  <c r="AQ32" i="5"/>
  <c r="AP32" i="5"/>
  <c r="AO32" i="5"/>
  <c r="AN32" i="5"/>
  <c r="AM32" i="5"/>
  <c r="AL32" i="5"/>
  <c r="AK32" i="5"/>
  <c r="AJ32" i="5"/>
  <c r="AI32" i="5"/>
  <c r="AH32" i="5"/>
  <c r="AG32" i="5"/>
  <c r="AF32" i="5"/>
  <c r="AE32" i="5"/>
  <c r="AD32" i="5"/>
  <c r="AC32" i="5"/>
  <c r="AB32" i="5"/>
  <c r="AA32" i="5"/>
  <c r="Z32" i="5"/>
  <c r="Y32" i="5"/>
  <c r="X32" i="5"/>
  <c r="W32" i="5"/>
  <c r="V32" i="5"/>
  <c r="U32" i="5"/>
  <c r="T32" i="5"/>
  <c r="S32" i="5"/>
  <c r="R32" i="5"/>
  <c r="Q32" i="5"/>
  <c r="P32" i="5"/>
  <c r="O32" i="5"/>
  <c r="N32" i="5"/>
  <c r="M32" i="5"/>
  <c r="L32" i="5"/>
  <c r="K32" i="5"/>
  <c r="J32" i="5"/>
  <c r="I32" i="5"/>
  <c r="H32" i="5"/>
  <c r="G32" i="5"/>
  <c r="F32" i="5"/>
  <c r="E32" i="5"/>
  <c r="D32" i="5"/>
  <c r="C32" i="5"/>
  <c r="B32" i="5"/>
  <c r="CS15" i="5"/>
  <c r="CR15" i="5"/>
  <c r="CQ15" i="5"/>
  <c r="CP15" i="5"/>
  <c r="CO15" i="5"/>
  <c r="CN15" i="5"/>
  <c r="CM15" i="5"/>
  <c r="CM17" i="5" s="1"/>
  <c r="CL15" i="5"/>
  <c r="CL17" i="5" s="1"/>
  <c r="CK15" i="5"/>
  <c r="CJ15" i="5"/>
  <c r="CI15" i="5"/>
  <c r="CH15" i="5"/>
  <c r="BY15" i="5"/>
  <c r="BX15" i="5"/>
  <c r="BX17" i="5" s="1"/>
  <c r="BW15" i="5"/>
  <c r="BV15" i="5"/>
  <c r="BU15" i="5"/>
  <c r="BT15" i="5"/>
  <c r="BS15" i="5"/>
  <c r="BR15" i="5"/>
  <c r="BQ15" i="5"/>
  <c r="BQ17" i="5" s="1"/>
  <c r="BP15" i="5"/>
  <c r="BP17" i="5" s="1"/>
  <c r="BO15" i="5"/>
  <c r="BN15" i="5"/>
  <c r="BM15" i="5"/>
  <c r="BL15" i="5"/>
  <c r="BK15" i="5"/>
  <c r="BJ15" i="5"/>
  <c r="BI15" i="5"/>
  <c r="BH15" i="5"/>
  <c r="BH17" i="5" s="1"/>
  <c r="BG15" i="5"/>
  <c r="BG17" i="5" s="1"/>
  <c r="BF15" i="5"/>
  <c r="BE15" i="5"/>
  <c r="BD15" i="5"/>
  <c r="BC15" i="5"/>
  <c r="BB15" i="5"/>
  <c r="BA15" i="5"/>
  <c r="AZ15" i="5"/>
  <c r="AY15" i="5"/>
  <c r="AY17" i="5" s="1"/>
  <c r="AX15" i="5"/>
  <c r="AX17" i="5" s="1"/>
  <c r="AW15" i="5"/>
  <c r="AV15" i="5"/>
  <c r="AU15" i="5"/>
  <c r="AT15" i="5"/>
  <c r="AS15" i="5"/>
  <c r="AR15" i="5"/>
  <c r="AR17" i="5" s="1"/>
  <c r="AQ15" i="5"/>
  <c r="AP15" i="5"/>
  <c r="AO15" i="5"/>
  <c r="AN15" i="5"/>
  <c r="AM15" i="5"/>
  <c r="AL15" i="5"/>
  <c r="AK15" i="5"/>
  <c r="AJ15" i="5"/>
  <c r="AI15" i="5"/>
  <c r="AH15" i="5"/>
  <c r="AG15" i="5"/>
  <c r="AF15" i="5"/>
  <c r="AE15" i="5"/>
  <c r="AD15" i="5"/>
  <c r="AC15" i="5"/>
  <c r="AC17" i="5" s="1"/>
  <c r="AB15" i="5"/>
  <c r="AA15" i="5"/>
  <c r="Z15" i="5"/>
  <c r="Y15" i="5"/>
  <c r="X15" i="5"/>
  <c r="W15" i="5"/>
  <c r="V15" i="5"/>
  <c r="U15" i="5"/>
  <c r="U17" i="5" s="1"/>
  <c r="T15" i="5"/>
  <c r="S15" i="5"/>
  <c r="S17" i="5" s="1"/>
  <c r="R15" i="5"/>
  <c r="Q15" i="5"/>
  <c r="P15" i="5"/>
  <c r="O15" i="5"/>
  <c r="N15" i="5"/>
  <c r="M15" i="5"/>
  <c r="L15" i="5"/>
  <c r="L17" i="5" s="1"/>
  <c r="K15" i="5"/>
  <c r="J15" i="5"/>
  <c r="I15" i="5"/>
  <c r="H15" i="5"/>
  <c r="G15" i="5"/>
  <c r="F15" i="5"/>
  <c r="E15" i="5"/>
  <c r="E17" i="5" s="1"/>
  <c r="D15" i="5"/>
  <c r="C15" i="5"/>
  <c r="B15" i="5"/>
  <c r="CS7" i="5"/>
  <c r="CR7" i="5"/>
  <c r="CQ7" i="5"/>
  <c r="CP7" i="5"/>
  <c r="CO7" i="5"/>
  <c r="CN7" i="5"/>
  <c r="CM7" i="5"/>
  <c r="CL7" i="5"/>
  <c r="CK7" i="5"/>
  <c r="CJ7" i="5"/>
  <c r="CI7" i="5"/>
  <c r="CH7" i="5"/>
  <c r="BY7" i="5"/>
  <c r="BX7" i="5"/>
  <c r="BW7" i="5"/>
  <c r="BV7" i="5"/>
  <c r="BU7" i="5"/>
  <c r="BT7" i="5"/>
  <c r="BS7" i="5"/>
  <c r="BR7" i="5"/>
  <c r="BQ7" i="5"/>
  <c r="BP7" i="5"/>
  <c r="BO7" i="5"/>
  <c r="BN7" i="5"/>
  <c r="BM7" i="5"/>
  <c r="BL7" i="5"/>
  <c r="BK7" i="5"/>
  <c r="BJ7" i="5"/>
  <c r="BI7" i="5"/>
  <c r="BH7" i="5"/>
  <c r="BG7" i="5"/>
  <c r="BF7" i="5"/>
  <c r="BE7" i="5"/>
  <c r="BD7" i="5"/>
  <c r="BC7" i="5"/>
  <c r="BB7" i="5"/>
  <c r="BA7" i="5"/>
  <c r="AZ7" i="5"/>
  <c r="AY7" i="5"/>
  <c r="AX7" i="5"/>
  <c r="AW7" i="5"/>
  <c r="AV7" i="5"/>
  <c r="AU7" i="5"/>
  <c r="AT7" i="5"/>
  <c r="AS7" i="5"/>
  <c r="AR7" i="5"/>
  <c r="AQ7" i="5"/>
  <c r="AP7" i="5"/>
  <c r="AO7" i="5"/>
  <c r="AN7" i="5"/>
  <c r="AM7" i="5"/>
  <c r="AL7" i="5"/>
  <c r="AK7" i="5"/>
  <c r="AJ7" i="5"/>
  <c r="AI7" i="5"/>
  <c r="AH7" i="5"/>
  <c r="AG7" i="5"/>
  <c r="AF7" i="5"/>
  <c r="AE7" i="5"/>
  <c r="AD7" i="5"/>
  <c r="AC7" i="5"/>
  <c r="AB7" i="5"/>
  <c r="AA7" i="5"/>
  <c r="Z7" i="5"/>
  <c r="Y7" i="5"/>
  <c r="X7" i="5"/>
  <c r="W7" i="5"/>
  <c r="V7" i="5"/>
  <c r="U7" i="5"/>
  <c r="T7" i="5"/>
  <c r="S7" i="5"/>
  <c r="R7" i="5"/>
  <c r="Q7" i="5"/>
  <c r="P7" i="5"/>
  <c r="O7" i="5"/>
  <c r="N7" i="5"/>
  <c r="M7" i="5"/>
  <c r="L7" i="5"/>
  <c r="K7" i="5"/>
  <c r="J7" i="5"/>
  <c r="I7" i="5"/>
  <c r="H7" i="5"/>
  <c r="G7" i="5"/>
  <c r="F7" i="5"/>
  <c r="E7" i="5"/>
  <c r="D7" i="5"/>
  <c r="C7" i="5"/>
  <c r="B7" i="5"/>
  <c r="J60" i="5" l="1"/>
  <c r="J61" i="5" s="1"/>
  <c r="R60" i="5"/>
  <c r="R61" i="5" s="1"/>
  <c r="Z60" i="5"/>
  <c r="Z61" i="5" s="1"/>
  <c r="AH60" i="5"/>
  <c r="AH61" i="5" s="1"/>
  <c r="AP60" i="5"/>
  <c r="AP61" i="5" s="1"/>
  <c r="AX60" i="5"/>
  <c r="AX61" i="5" s="1"/>
  <c r="BF60" i="5"/>
  <c r="BF61" i="5" s="1"/>
  <c r="BN60" i="5"/>
  <c r="BN61" i="5" s="1"/>
  <c r="D60" i="5"/>
  <c r="D61" i="5" s="1"/>
  <c r="L60" i="5"/>
  <c r="L61" i="5" s="1"/>
  <c r="T60" i="5"/>
  <c r="T61" i="5" s="1"/>
  <c r="AB60" i="5"/>
  <c r="AB61" i="5" s="1"/>
  <c r="AJ60" i="5"/>
  <c r="AJ61" i="5" s="1"/>
  <c r="AR60" i="5"/>
  <c r="AR61" i="5" s="1"/>
  <c r="AZ60" i="5"/>
  <c r="AZ61" i="5" s="1"/>
  <c r="BH60" i="5"/>
  <c r="BH61" i="5" s="1"/>
  <c r="BX60" i="5"/>
  <c r="BX61" i="5" s="1"/>
  <c r="B60" i="5"/>
  <c r="B61" i="5" s="1"/>
  <c r="J17" i="5"/>
  <c r="BV17" i="5"/>
  <c r="BV5" i="5" s="1"/>
  <c r="BV20" i="5" s="1"/>
  <c r="Z17" i="5"/>
  <c r="BO60" i="5"/>
  <c r="BO61" i="5" s="1"/>
  <c r="AA17" i="5"/>
  <c r="AA5" i="5" s="1"/>
  <c r="AA20" i="5" s="1"/>
  <c r="K17" i="5"/>
  <c r="AP17" i="5"/>
  <c r="AP5" i="5" s="1"/>
  <c r="AP20" i="5" s="1"/>
  <c r="AP21" i="5" s="1"/>
  <c r="BV60" i="5"/>
  <c r="BV61" i="5" s="1"/>
  <c r="AQ17" i="5"/>
  <c r="AQ5" i="5" s="1"/>
  <c r="AQ20" i="5" s="1"/>
  <c r="AQ22" i="5" s="1"/>
  <c r="AQ23" i="5" s="1"/>
  <c r="C60" i="5"/>
  <c r="C61" i="5" s="1"/>
  <c r="K60" i="5"/>
  <c r="K61" i="5" s="1"/>
  <c r="AA60" i="5"/>
  <c r="AA61" i="5" s="1"/>
  <c r="AI60" i="5"/>
  <c r="AI61" i="5" s="1"/>
  <c r="AQ60" i="5"/>
  <c r="AQ61" i="5" s="1"/>
  <c r="BG60" i="5"/>
  <c r="BG61" i="5" s="1"/>
  <c r="BW60" i="5"/>
  <c r="BW61" i="5" s="1"/>
  <c r="BW17" i="5"/>
  <c r="BW5" i="5" s="1"/>
  <c r="BW20" i="5" s="1"/>
  <c r="BW21" i="5" s="1"/>
  <c r="S60" i="5"/>
  <c r="S61" i="5" s="1"/>
  <c r="BF17" i="5"/>
  <c r="BF5" i="5" s="1"/>
  <c r="BF20" i="5" s="1"/>
  <c r="AY5" i="5"/>
  <c r="AY20" i="5" s="1"/>
  <c r="CM5" i="5"/>
  <c r="CM20" i="5" s="1"/>
  <c r="AX5" i="5"/>
  <c r="AX20" i="5" s="1"/>
  <c r="CL5" i="5"/>
  <c r="CL20" i="5" s="1"/>
  <c r="S5" i="5"/>
  <c r="S20" i="5" s="1"/>
  <c r="Z5" i="5"/>
  <c r="Z20" i="5" s="1"/>
  <c r="B17" i="5"/>
  <c r="AH17" i="5"/>
  <c r="BN17" i="5"/>
  <c r="BG5" i="5"/>
  <c r="BG20" i="5" s="1"/>
  <c r="C17" i="5"/>
  <c r="AI17" i="5"/>
  <c r="BO17" i="5"/>
  <c r="AY60" i="5"/>
  <c r="AY61" i="5" s="1"/>
  <c r="AR5" i="5"/>
  <c r="AR20" i="5" s="1"/>
  <c r="BP5" i="5"/>
  <c r="BP20" i="5" s="1"/>
  <c r="BP19" i="5"/>
  <c r="E5" i="5"/>
  <c r="E20" i="5" s="1"/>
  <c r="BQ5" i="5"/>
  <c r="BQ20" i="5" s="1"/>
  <c r="BH5" i="5"/>
  <c r="BH20" i="5" s="1"/>
  <c r="BX5" i="5"/>
  <c r="BX20" i="5" s="1"/>
  <c r="U5" i="5"/>
  <c r="U20" i="5" s="1"/>
  <c r="AC5" i="5"/>
  <c r="AC20" i="5" s="1"/>
  <c r="L5" i="5"/>
  <c r="L20" i="5" s="1"/>
  <c r="R17" i="5"/>
  <c r="CN17" i="5"/>
  <c r="D17" i="5"/>
  <c r="AZ17" i="5"/>
  <c r="M60" i="5"/>
  <c r="M61" i="5" s="1"/>
  <c r="BI60" i="5"/>
  <c r="BI61" i="5" s="1"/>
  <c r="CO17" i="5"/>
  <c r="BP60" i="5"/>
  <c r="BP61" i="5" s="1"/>
  <c r="AS60" i="5"/>
  <c r="AS61" i="5" s="1"/>
  <c r="BY60" i="5"/>
  <c r="BY61" i="5" s="1"/>
  <c r="BY17" i="5"/>
  <c r="F17" i="5"/>
  <c r="N17" i="5"/>
  <c r="V17" i="5"/>
  <c r="AD17" i="5"/>
  <c r="AL17" i="5"/>
  <c r="AT17" i="5"/>
  <c r="BB17" i="5"/>
  <c r="BJ17" i="5"/>
  <c r="BR17" i="5"/>
  <c r="CH17" i="5"/>
  <c r="CP17" i="5"/>
  <c r="F60" i="5"/>
  <c r="F61" i="5" s="1"/>
  <c r="N60" i="5"/>
  <c r="N61" i="5" s="1"/>
  <c r="V60" i="5"/>
  <c r="V61" i="5" s="1"/>
  <c r="AD60" i="5"/>
  <c r="AD61" i="5" s="1"/>
  <c r="AL60" i="5"/>
  <c r="AL61" i="5" s="1"/>
  <c r="AT60" i="5"/>
  <c r="AT61" i="5" s="1"/>
  <c r="BB60" i="5"/>
  <c r="BB61" i="5" s="1"/>
  <c r="BJ60" i="5"/>
  <c r="BJ61" i="5" s="1"/>
  <c r="BR60" i="5"/>
  <c r="BR61" i="5" s="1"/>
  <c r="AB17" i="5"/>
  <c r="U60" i="5"/>
  <c r="U61" i="5" s="1"/>
  <c r="BA60" i="5"/>
  <c r="BA61" i="5" s="1"/>
  <c r="AS17" i="5"/>
  <c r="G17" i="5"/>
  <c r="O17" i="5"/>
  <c r="W17" i="5"/>
  <c r="AE17" i="5"/>
  <c r="AM17" i="5"/>
  <c r="AU17" i="5"/>
  <c r="BC17" i="5"/>
  <c r="BK17" i="5"/>
  <c r="BS17" i="5"/>
  <c r="CI17" i="5"/>
  <c r="CQ17" i="5"/>
  <c r="G60" i="5"/>
  <c r="G61" i="5" s="1"/>
  <c r="O60" i="5"/>
  <c r="O61" i="5" s="1"/>
  <c r="W60" i="5"/>
  <c r="W61" i="5" s="1"/>
  <c r="AE60" i="5"/>
  <c r="AE61" i="5" s="1"/>
  <c r="AM60" i="5"/>
  <c r="AM61" i="5" s="1"/>
  <c r="AU60" i="5"/>
  <c r="AU61" i="5" s="1"/>
  <c r="BC60" i="5"/>
  <c r="BC61" i="5" s="1"/>
  <c r="BK60" i="5"/>
  <c r="BK61" i="5" s="1"/>
  <c r="BS60" i="5"/>
  <c r="BS61" i="5" s="1"/>
  <c r="AJ17" i="5"/>
  <c r="E60" i="5"/>
  <c r="E61" i="5" s="1"/>
  <c r="AK60" i="5"/>
  <c r="AK61" i="5" s="1"/>
  <c r="BQ60" i="5"/>
  <c r="BQ61" i="5" s="1"/>
  <c r="M17" i="5"/>
  <c r="BA17" i="5"/>
  <c r="H17" i="5"/>
  <c r="P17" i="5"/>
  <c r="X17" i="5"/>
  <c r="AF17" i="5"/>
  <c r="AN17" i="5"/>
  <c r="AV17" i="5"/>
  <c r="BD17" i="5"/>
  <c r="BL17" i="5"/>
  <c r="BT17" i="5"/>
  <c r="CJ17" i="5"/>
  <c r="CR17" i="5"/>
  <c r="H60" i="5"/>
  <c r="H61" i="5" s="1"/>
  <c r="P60" i="5"/>
  <c r="P61" i="5" s="1"/>
  <c r="X60" i="5"/>
  <c r="X61" i="5" s="1"/>
  <c r="AF60" i="5"/>
  <c r="AF61" i="5" s="1"/>
  <c r="AN60" i="5"/>
  <c r="AN61" i="5" s="1"/>
  <c r="AV60" i="5"/>
  <c r="AV61" i="5" s="1"/>
  <c r="BD60" i="5"/>
  <c r="BD61" i="5" s="1"/>
  <c r="BL60" i="5"/>
  <c r="BL61" i="5" s="1"/>
  <c r="BT60" i="5"/>
  <c r="BT61" i="5" s="1"/>
  <c r="T17" i="5"/>
  <c r="AC60" i="5"/>
  <c r="AC61" i="5" s="1"/>
  <c r="AK17" i="5"/>
  <c r="BI17" i="5"/>
  <c r="I17" i="5"/>
  <c r="Q17" i="5"/>
  <c r="Y17" i="5"/>
  <c r="AG17" i="5"/>
  <c r="AO17" i="5"/>
  <c r="AW17" i="5"/>
  <c r="BE17" i="5"/>
  <c r="BM17" i="5"/>
  <c r="BU17" i="5"/>
  <c r="CK17" i="5"/>
  <c r="CS17" i="5"/>
  <c r="I60" i="5"/>
  <c r="I61" i="5" s="1"/>
  <c r="Q60" i="5"/>
  <c r="Q61" i="5" s="1"/>
  <c r="Y60" i="5"/>
  <c r="Y61" i="5" s="1"/>
  <c r="AG60" i="5"/>
  <c r="AG61" i="5" s="1"/>
  <c r="AO60" i="5"/>
  <c r="AO61" i="5" s="1"/>
  <c r="AW60" i="5"/>
  <c r="AW61" i="5" s="1"/>
  <c r="BE60" i="5"/>
  <c r="BE61" i="5" s="1"/>
  <c r="BM60" i="5"/>
  <c r="BM61" i="5" s="1"/>
  <c r="BU60" i="5"/>
  <c r="BU61" i="5" s="1"/>
  <c r="BV55" i="5" l="1"/>
  <c r="BV56" i="5" s="1"/>
  <c r="BV19" i="5"/>
  <c r="BQ19" i="5"/>
  <c r="BX19" i="5"/>
  <c r="AC19" i="5"/>
  <c r="AQ19" i="5"/>
  <c r="BW19" i="5"/>
  <c r="AP19" i="5"/>
  <c r="BW55" i="5"/>
  <c r="BW56" i="5" s="1"/>
  <c r="AP22" i="5"/>
  <c r="AP23" i="5" s="1"/>
  <c r="AP55" i="5"/>
  <c r="AP58" i="5" s="1"/>
  <c r="AQ55" i="5"/>
  <c r="AQ58" i="5" s="1"/>
  <c r="AQ21" i="5"/>
  <c r="J5" i="5"/>
  <c r="J20" i="5" s="1"/>
  <c r="BV22" i="5"/>
  <c r="BV23" i="5" s="1"/>
  <c r="BV21" i="5"/>
  <c r="Z19" i="5"/>
  <c r="BW22" i="5"/>
  <c r="BW23" i="5" s="1"/>
  <c r="BG19" i="5"/>
  <c r="U19" i="5"/>
  <c r="K5" i="5"/>
  <c r="K20" i="5" s="1"/>
  <c r="BE5" i="5"/>
  <c r="BE20" i="5" s="1"/>
  <c r="BI5" i="5"/>
  <c r="BI20" i="5" s="1"/>
  <c r="CJ5" i="5"/>
  <c r="CJ20" i="5" s="1"/>
  <c r="P5" i="5"/>
  <c r="P20" i="5" s="1"/>
  <c r="AJ5" i="5"/>
  <c r="AJ20" i="5" s="1"/>
  <c r="BC5" i="5"/>
  <c r="BC20" i="5" s="1"/>
  <c r="AS5" i="5"/>
  <c r="AS20" i="5" s="1"/>
  <c r="CH5" i="5"/>
  <c r="CH20" i="5" s="1"/>
  <c r="N5" i="5"/>
  <c r="N20" i="5" s="1"/>
  <c r="CO5" i="5"/>
  <c r="CO20" i="5" s="1"/>
  <c r="E55" i="5"/>
  <c r="E21" i="5"/>
  <c r="E22" i="5"/>
  <c r="E23" i="5" s="1"/>
  <c r="AA22" i="5"/>
  <c r="AA23" i="5" s="1"/>
  <c r="AA55" i="5"/>
  <c r="AA21" i="5"/>
  <c r="BF22" i="5"/>
  <c r="BF23" i="5" s="1"/>
  <c r="BF55" i="5"/>
  <c r="BF21" i="5"/>
  <c r="AX55" i="5"/>
  <c r="AX21" i="5"/>
  <c r="AX22" i="5"/>
  <c r="AX23" i="5" s="1"/>
  <c r="AW5" i="5"/>
  <c r="AW20" i="5" s="1"/>
  <c r="AK5" i="5"/>
  <c r="AK20" i="5" s="1"/>
  <c r="BT5" i="5"/>
  <c r="BT20" i="5" s="1"/>
  <c r="H5" i="5"/>
  <c r="H20" i="5" s="1"/>
  <c r="AU5" i="5"/>
  <c r="AU20" i="5" s="1"/>
  <c r="BR5" i="5"/>
  <c r="BR20" i="5" s="1"/>
  <c r="F5" i="5"/>
  <c r="F20" i="5" s="1"/>
  <c r="BX55" i="5"/>
  <c r="BX22" i="5"/>
  <c r="BX23" i="5" s="1"/>
  <c r="BX21" i="5"/>
  <c r="E19" i="5"/>
  <c r="Z22" i="5"/>
  <c r="Z23" i="5" s="1"/>
  <c r="Z55" i="5"/>
  <c r="Z21" i="5"/>
  <c r="AM5" i="5"/>
  <c r="AM20" i="5" s="1"/>
  <c r="AG5" i="5"/>
  <c r="AG20" i="5" s="1"/>
  <c r="T5" i="5"/>
  <c r="T20" i="5" s="1"/>
  <c r="BD5" i="5"/>
  <c r="BD20" i="5" s="1"/>
  <c r="BA5" i="5"/>
  <c r="BA20" i="5" s="1"/>
  <c r="AE5" i="5"/>
  <c r="AE20" i="5" s="1"/>
  <c r="AB5" i="5"/>
  <c r="AB20" i="5" s="1"/>
  <c r="BB5" i="5"/>
  <c r="BB20" i="5" s="1"/>
  <c r="BY5" i="5"/>
  <c r="BY20" i="5" s="1"/>
  <c r="AZ5" i="5"/>
  <c r="AZ20" i="5" s="1"/>
  <c r="L55" i="5"/>
  <c r="L22" i="5"/>
  <c r="L23" i="5" s="1"/>
  <c r="L21" i="5"/>
  <c r="BH19" i="5"/>
  <c r="BP55" i="5"/>
  <c r="BP22" i="5"/>
  <c r="BP23" i="5" s="1"/>
  <c r="BP21" i="5"/>
  <c r="AI5" i="5"/>
  <c r="AI20" i="5" s="1"/>
  <c r="S19" i="5"/>
  <c r="AO5" i="5"/>
  <c r="AO20" i="5" s="1"/>
  <c r="BL5" i="5"/>
  <c r="BL20" i="5" s="1"/>
  <c r="BO5" i="5"/>
  <c r="BO20" i="5" s="1"/>
  <c r="CS5" i="5"/>
  <c r="CS20" i="5" s="1"/>
  <c r="AV5" i="5"/>
  <c r="AV20" i="5" s="1"/>
  <c r="M5" i="5"/>
  <c r="M20" i="5" s="1"/>
  <c r="CQ5" i="5"/>
  <c r="CQ20" i="5" s="1"/>
  <c r="AT5" i="5"/>
  <c r="AT20" i="5" s="1"/>
  <c r="D5" i="5"/>
  <c r="D20" i="5" s="1"/>
  <c r="AR55" i="5"/>
  <c r="AR22" i="5"/>
  <c r="AR23" i="5" s="1"/>
  <c r="AR21" i="5"/>
  <c r="CM22" i="5"/>
  <c r="CM23" i="5" s="1"/>
  <c r="CM21" i="5"/>
  <c r="Q5" i="5"/>
  <c r="Q20" i="5" s="1"/>
  <c r="AN5" i="5"/>
  <c r="AN20" i="5" s="1"/>
  <c r="CI5" i="5"/>
  <c r="CI20" i="5" s="1"/>
  <c r="O5" i="5"/>
  <c r="O20" i="5" s="1"/>
  <c r="AL5" i="5"/>
  <c r="AL20" i="5" s="1"/>
  <c r="AC22" i="5"/>
  <c r="AC23" i="5" s="1"/>
  <c r="AC21" i="5"/>
  <c r="AC55" i="5"/>
  <c r="AR19" i="5"/>
  <c r="AH5" i="5"/>
  <c r="AH20" i="5" s="1"/>
  <c r="AA19" i="5"/>
  <c r="CL21" i="5"/>
  <c r="CL22" i="5"/>
  <c r="CL23" i="5" s="1"/>
  <c r="CM19" i="5"/>
  <c r="BJ5" i="5"/>
  <c r="BJ20" i="5" s="1"/>
  <c r="R5" i="5"/>
  <c r="R20" i="5" s="1"/>
  <c r="Y5" i="5"/>
  <c r="Y20" i="5" s="1"/>
  <c r="W5" i="5"/>
  <c r="W20" i="5" s="1"/>
  <c r="BH55" i="5"/>
  <c r="BH22" i="5"/>
  <c r="BH23" i="5" s="1"/>
  <c r="BH21" i="5"/>
  <c r="C5" i="5"/>
  <c r="C20" i="5" s="1"/>
  <c r="BN5" i="5"/>
  <c r="BN20" i="5" s="1"/>
  <c r="S55" i="5"/>
  <c r="S22" i="5"/>
  <c r="S23" i="5" s="1"/>
  <c r="S21" i="5"/>
  <c r="BF19" i="5"/>
  <c r="CK5" i="5"/>
  <c r="CK20" i="5" s="1"/>
  <c r="BU5" i="5"/>
  <c r="BU20" i="5" s="1"/>
  <c r="I5" i="5"/>
  <c r="I20" i="5" s="1"/>
  <c r="AF5" i="5"/>
  <c r="AF20" i="5" s="1"/>
  <c r="BS5" i="5"/>
  <c r="BS20" i="5" s="1"/>
  <c r="G5" i="5"/>
  <c r="G20" i="5" s="1"/>
  <c r="AD5" i="5"/>
  <c r="AD20" i="5" s="1"/>
  <c r="L19" i="5"/>
  <c r="B5" i="5"/>
  <c r="B20" i="5" s="1"/>
  <c r="CL19" i="5"/>
  <c r="AY55" i="5"/>
  <c r="AY22" i="5"/>
  <c r="AY23" i="5" s="1"/>
  <c r="AY21" i="5"/>
  <c r="BM5" i="5"/>
  <c r="BM20" i="5" s="1"/>
  <c r="CR5" i="5"/>
  <c r="CR20" i="5" s="1"/>
  <c r="X5" i="5"/>
  <c r="X20" i="5" s="1"/>
  <c r="BK5" i="5"/>
  <c r="BK20" i="5" s="1"/>
  <c r="CP5" i="5"/>
  <c r="CP20" i="5" s="1"/>
  <c r="V5" i="5"/>
  <c r="V20" i="5" s="1"/>
  <c r="CN5" i="5"/>
  <c r="CN20" i="5" s="1"/>
  <c r="CN19" i="5"/>
  <c r="U55" i="5"/>
  <c r="U21" i="5"/>
  <c r="U22" i="5"/>
  <c r="U23" i="5" s="1"/>
  <c r="BQ55" i="5"/>
  <c r="BQ22" i="5"/>
  <c r="BQ23" i="5" s="1"/>
  <c r="BQ21" i="5"/>
  <c r="BG55" i="5"/>
  <c r="BG22" i="5"/>
  <c r="BG23" i="5" s="1"/>
  <c r="BG21" i="5"/>
  <c r="AX19" i="5"/>
  <c r="AY19" i="5"/>
  <c r="CH19" i="5" l="1"/>
  <c r="BV58" i="5"/>
  <c r="AQ56" i="5"/>
  <c r="C19" i="5"/>
  <c r="M19" i="5"/>
  <c r="BW58" i="5"/>
  <c r="BO19" i="5"/>
  <c r="V19" i="5"/>
  <c r="O19" i="5"/>
  <c r="AF19" i="5"/>
  <c r="W19" i="5"/>
  <c r="AP56" i="5"/>
  <c r="BL19" i="5"/>
  <c r="F19" i="5"/>
  <c r="K19" i="5"/>
  <c r="J19" i="5"/>
  <c r="R19" i="5"/>
  <c r="CS19" i="5"/>
  <c r="AO19" i="5"/>
  <c r="AG19" i="5"/>
  <c r="AK19" i="5"/>
  <c r="N19" i="5"/>
  <c r="AN19" i="5"/>
  <c r="AL19" i="5"/>
  <c r="AE19" i="5"/>
  <c r="BR19" i="5"/>
  <c r="K55" i="5"/>
  <c r="K21" i="5"/>
  <c r="K22" i="5"/>
  <c r="K23" i="5" s="1"/>
  <c r="J55" i="5"/>
  <c r="J21" i="5"/>
  <c r="J22" i="5"/>
  <c r="J23" i="5" s="1"/>
  <c r="BN19" i="5"/>
  <c r="AH55" i="5"/>
  <c r="AH21" i="5"/>
  <c r="AH22" i="5"/>
  <c r="AH23" i="5" s="1"/>
  <c r="BK19" i="5"/>
  <c r="BH58" i="5"/>
  <c r="BH56" i="5"/>
  <c r="CI22" i="5"/>
  <c r="CI23" i="5" s="1"/>
  <c r="CI21" i="5"/>
  <c r="CQ22" i="5"/>
  <c r="CQ23" i="5" s="1"/>
  <c r="CQ21" i="5"/>
  <c r="BY22" i="5"/>
  <c r="BY23" i="5" s="1"/>
  <c r="BY21" i="5"/>
  <c r="BY55" i="5"/>
  <c r="BA55" i="5"/>
  <c r="BA21" i="5"/>
  <c r="BA22" i="5"/>
  <c r="BA23" i="5" s="1"/>
  <c r="AM55" i="5"/>
  <c r="AM22" i="5"/>
  <c r="AM23" i="5" s="1"/>
  <c r="AM21" i="5"/>
  <c r="BX58" i="5"/>
  <c r="BX56" i="5"/>
  <c r="H19" i="5"/>
  <c r="CH22" i="5"/>
  <c r="CH23" i="5" s="1"/>
  <c r="CH21" i="5"/>
  <c r="P19" i="5"/>
  <c r="AT55" i="5"/>
  <c r="AT22" i="5"/>
  <c r="AT23" i="5" s="1"/>
  <c r="AT21" i="5"/>
  <c r="P55" i="5"/>
  <c r="P22" i="5"/>
  <c r="P23" i="5" s="1"/>
  <c r="P21" i="5"/>
  <c r="AD19" i="5"/>
  <c r="I19" i="5"/>
  <c r="S58" i="5"/>
  <c r="S56" i="5"/>
  <c r="W55" i="5"/>
  <c r="W22" i="5"/>
  <c r="W23" i="5" s="1"/>
  <c r="W21" i="5"/>
  <c r="AC58" i="5"/>
  <c r="AC56" i="5"/>
  <c r="CI19" i="5"/>
  <c r="CQ19" i="5"/>
  <c r="BO55" i="5"/>
  <c r="BO21" i="5"/>
  <c r="BO22" i="5"/>
  <c r="BO23" i="5" s="1"/>
  <c r="BP58" i="5"/>
  <c r="BP56" i="5"/>
  <c r="BY19" i="5"/>
  <c r="BA19" i="5"/>
  <c r="AM19" i="5"/>
  <c r="BT55" i="5"/>
  <c r="BT22" i="5"/>
  <c r="BT23" i="5" s="1"/>
  <c r="BT21" i="5"/>
  <c r="AX58" i="5"/>
  <c r="AX56" i="5"/>
  <c r="AS21" i="5"/>
  <c r="AS55" i="5"/>
  <c r="AS22" i="5"/>
  <c r="AS23" i="5" s="1"/>
  <c r="CJ22" i="5"/>
  <c r="CJ23" i="5" s="1"/>
  <c r="CJ21" i="5"/>
  <c r="BK55" i="5"/>
  <c r="BK22" i="5"/>
  <c r="BK23" i="5" s="1"/>
  <c r="BK21" i="5"/>
  <c r="I55" i="5"/>
  <c r="I22" i="5"/>
  <c r="I23" i="5" s="1"/>
  <c r="I21" i="5"/>
  <c r="CN22" i="5"/>
  <c r="CN23" i="5" s="1"/>
  <c r="CN21" i="5"/>
  <c r="BU55" i="5"/>
  <c r="BU22" i="5"/>
  <c r="BU23" i="5" s="1"/>
  <c r="BU21" i="5"/>
  <c r="AN55" i="5"/>
  <c r="AN22" i="5"/>
  <c r="AN23" i="5" s="1"/>
  <c r="AN21" i="5"/>
  <c r="M22" i="5"/>
  <c r="M23" i="5" s="1"/>
  <c r="M21" i="5"/>
  <c r="M55" i="5"/>
  <c r="BL55" i="5"/>
  <c r="BL22" i="5"/>
  <c r="BL23" i="5" s="1"/>
  <c r="BL21" i="5"/>
  <c r="BB19" i="5"/>
  <c r="BD55" i="5"/>
  <c r="BD22" i="5"/>
  <c r="BD23" i="5" s="1"/>
  <c r="BD21" i="5"/>
  <c r="F55" i="5"/>
  <c r="F22" i="5"/>
  <c r="F23" i="5" s="1"/>
  <c r="F21" i="5"/>
  <c r="BT19" i="5"/>
  <c r="E58" i="5"/>
  <c r="E56" i="5"/>
  <c r="AS19" i="5"/>
  <c r="CJ19" i="5"/>
  <c r="AZ55" i="5"/>
  <c r="AZ22" i="5"/>
  <c r="AZ23" i="5" s="1"/>
  <c r="AZ21" i="5"/>
  <c r="AD55" i="5"/>
  <c r="AD22" i="5"/>
  <c r="AD23" i="5" s="1"/>
  <c r="AD21" i="5"/>
  <c r="X55" i="5"/>
  <c r="X22" i="5"/>
  <c r="X23" i="5" s="1"/>
  <c r="X21" i="5"/>
  <c r="BN55" i="5"/>
  <c r="BN21" i="5"/>
  <c r="BN22" i="5"/>
  <c r="BN23" i="5" s="1"/>
  <c r="BB55" i="5"/>
  <c r="BB22" i="5"/>
  <c r="BB23" i="5" s="1"/>
  <c r="BB21" i="5"/>
  <c r="BD19" i="5"/>
  <c r="Z58" i="5"/>
  <c r="Z56" i="5"/>
  <c r="BF58" i="5"/>
  <c r="BF56" i="5"/>
  <c r="CO22" i="5"/>
  <c r="CO23" i="5" s="1"/>
  <c r="CO21" i="5"/>
  <c r="BC55" i="5"/>
  <c r="BC22" i="5"/>
  <c r="BC23" i="5" s="1"/>
  <c r="BC21" i="5"/>
  <c r="BI22" i="5"/>
  <c r="BI23" i="5" s="1"/>
  <c r="BI21" i="5"/>
  <c r="BI55" i="5"/>
  <c r="H55" i="5"/>
  <c r="H22" i="5"/>
  <c r="H23" i="5" s="1"/>
  <c r="H21" i="5"/>
  <c r="U58" i="5"/>
  <c r="U56" i="5"/>
  <c r="AY58" i="5"/>
  <c r="AY56" i="5"/>
  <c r="Y55" i="5"/>
  <c r="Y22" i="5"/>
  <c r="Y23" i="5" s="1"/>
  <c r="Y21" i="5"/>
  <c r="CR19" i="5"/>
  <c r="BS55" i="5"/>
  <c r="BS22" i="5"/>
  <c r="BS23" i="5" s="1"/>
  <c r="BS21" i="5"/>
  <c r="CK22" i="5"/>
  <c r="CK23" i="5" s="1"/>
  <c r="CK21" i="5"/>
  <c r="Y19" i="5"/>
  <c r="Q55" i="5"/>
  <c r="Q22" i="5"/>
  <c r="Q23" i="5" s="1"/>
  <c r="Q21" i="5"/>
  <c r="D55" i="5"/>
  <c r="D22" i="5"/>
  <c r="D23" i="5" s="1"/>
  <c r="D21" i="5"/>
  <c r="AV55" i="5"/>
  <c r="AV22" i="5"/>
  <c r="AV23" i="5" s="1"/>
  <c r="AV21" i="5"/>
  <c r="AB55" i="5"/>
  <c r="AB22" i="5"/>
  <c r="AB23" i="5" s="1"/>
  <c r="AB21" i="5"/>
  <c r="T55" i="5"/>
  <c r="T22" i="5"/>
  <c r="T23" i="5" s="1"/>
  <c r="T21" i="5"/>
  <c r="BR55" i="5"/>
  <c r="BR22" i="5"/>
  <c r="BR23" i="5" s="1"/>
  <c r="BR21" i="5"/>
  <c r="AK55" i="5"/>
  <c r="AK22" i="5"/>
  <c r="AK23" i="5" s="1"/>
  <c r="AK21" i="5"/>
  <c r="CO19" i="5"/>
  <c r="BC19" i="5"/>
  <c r="BI19" i="5"/>
  <c r="BJ55" i="5"/>
  <c r="BJ22" i="5"/>
  <c r="BJ23" i="5" s="1"/>
  <c r="BJ21" i="5"/>
  <c r="BJ19" i="5"/>
  <c r="G55" i="5"/>
  <c r="G22" i="5"/>
  <c r="G23" i="5" s="1"/>
  <c r="G21" i="5"/>
  <c r="G19" i="5"/>
  <c r="AR58" i="5"/>
  <c r="AR56" i="5"/>
  <c r="BQ58" i="5"/>
  <c r="BQ56" i="5"/>
  <c r="BM55" i="5"/>
  <c r="BM22" i="5"/>
  <c r="BM23" i="5" s="1"/>
  <c r="BM21" i="5"/>
  <c r="BS19" i="5"/>
  <c r="C55" i="5"/>
  <c r="C21" i="5"/>
  <c r="C22" i="5"/>
  <c r="C23" i="5" s="1"/>
  <c r="AL55" i="5"/>
  <c r="AL22" i="5"/>
  <c r="AL23" i="5" s="1"/>
  <c r="AL21" i="5"/>
  <c r="Q19" i="5"/>
  <c r="D19" i="5"/>
  <c r="AV19" i="5"/>
  <c r="AI55" i="5"/>
  <c r="AI21" i="5"/>
  <c r="AI22" i="5"/>
  <c r="AI23" i="5" s="1"/>
  <c r="L58" i="5"/>
  <c r="L56" i="5"/>
  <c r="AB19" i="5"/>
  <c r="T19" i="5"/>
  <c r="AU55" i="5"/>
  <c r="AU22" i="5"/>
  <c r="AU23" i="5" s="1"/>
  <c r="AU21" i="5"/>
  <c r="AW55" i="5"/>
  <c r="AW22" i="5"/>
  <c r="AW23" i="5" s="1"/>
  <c r="AW21" i="5"/>
  <c r="AJ55" i="5"/>
  <c r="AJ22" i="5"/>
  <c r="AJ23" i="5" s="1"/>
  <c r="AJ21" i="5"/>
  <c r="BE55" i="5"/>
  <c r="BE22" i="5"/>
  <c r="BE23" i="5" s="1"/>
  <c r="BE21" i="5"/>
  <c r="BG58" i="5"/>
  <c r="BG56" i="5"/>
  <c r="X19" i="5"/>
  <c r="CR22" i="5"/>
  <c r="CR23" i="5" s="1"/>
  <c r="CR21" i="5"/>
  <c r="BU19" i="5"/>
  <c r="V55" i="5"/>
  <c r="V22" i="5"/>
  <c r="V23" i="5" s="1"/>
  <c r="V21" i="5"/>
  <c r="CP22" i="5"/>
  <c r="CP23" i="5" s="1"/>
  <c r="CP21" i="5"/>
  <c r="B55" i="5"/>
  <c r="B21" i="5"/>
  <c r="B22" i="5"/>
  <c r="B23" i="5" s="1"/>
  <c r="CK19" i="5"/>
  <c r="CP19" i="5"/>
  <c r="BM19" i="5"/>
  <c r="B19" i="5"/>
  <c r="AF55" i="5"/>
  <c r="AF22" i="5"/>
  <c r="AF23" i="5" s="1"/>
  <c r="AF21" i="5"/>
  <c r="R55" i="5"/>
  <c r="R22" i="5"/>
  <c r="R23" i="5" s="1"/>
  <c r="R21" i="5"/>
  <c r="AH19" i="5"/>
  <c r="O55" i="5"/>
  <c r="O22" i="5"/>
  <c r="O23" i="5" s="1"/>
  <c r="O21" i="5"/>
  <c r="AT19" i="5"/>
  <c r="CS22" i="5"/>
  <c r="CS23" i="5" s="1"/>
  <c r="CS21" i="5"/>
  <c r="AO55" i="5"/>
  <c r="AO22" i="5"/>
  <c r="AO23" i="5" s="1"/>
  <c r="AO21" i="5"/>
  <c r="AI19" i="5"/>
  <c r="AZ19" i="5"/>
  <c r="AE55" i="5"/>
  <c r="AE22" i="5"/>
  <c r="AE23" i="5" s="1"/>
  <c r="AE21" i="5"/>
  <c r="AG55" i="5"/>
  <c r="AG22" i="5"/>
  <c r="AG23" i="5" s="1"/>
  <c r="AG21" i="5"/>
  <c r="AU19" i="5"/>
  <c r="AW19" i="5"/>
  <c r="AA58" i="5"/>
  <c r="AA56" i="5"/>
  <c r="N55" i="5"/>
  <c r="N22" i="5"/>
  <c r="N23" i="5" s="1"/>
  <c r="N21" i="5"/>
  <c r="AJ19" i="5"/>
  <c r="BE19" i="5"/>
  <c r="J56" i="5" l="1"/>
  <c r="J58" i="5"/>
  <c r="K56" i="5"/>
  <c r="K58" i="5"/>
  <c r="R58" i="5"/>
  <c r="R56" i="5"/>
  <c r="BB58" i="5"/>
  <c r="BB56" i="5"/>
  <c r="BT58" i="5"/>
  <c r="BT56" i="5"/>
  <c r="AN58" i="5"/>
  <c r="AN56" i="5"/>
  <c r="AT58" i="5"/>
  <c r="AT56" i="5"/>
  <c r="AI58" i="5"/>
  <c r="AI56" i="5"/>
  <c r="AB58" i="5"/>
  <c r="AB56" i="5"/>
  <c r="I58" i="5"/>
  <c r="I56" i="5"/>
  <c r="AS58" i="5"/>
  <c r="AS56" i="5"/>
  <c r="AL58" i="5"/>
  <c r="AL56" i="5"/>
  <c r="BO58" i="5"/>
  <c r="BO56" i="5"/>
  <c r="AK58" i="5"/>
  <c r="AK56" i="5"/>
  <c r="AD58" i="5"/>
  <c r="AD56" i="5"/>
  <c r="B58" i="5"/>
  <c r="B56" i="5"/>
  <c r="BE58" i="5"/>
  <c r="BE56" i="5"/>
  <c r="AF58" i="5"/>
  <c r="AF56" i="5"/>
  <c r="AU58" i="5"/>
  <c r="AU56" i="5"/>
  <c r="C58" i="5"/>
  <c r="C56" i="5"/>
  <c r="BJ58" i="5"/>
  <c r="BJ56" i="5"/>
  <c r="Q58" i="5"/>
  <c r="Q56" i="5"/>
  <c r="BN58" i="5"/>
  <c r="BN56" i="5"/>
  <c r="BL58" i="5"/>
  <c r="BL56" i="5"/>
  <c r="AM58" i="5"/>
  <c r="AM56" i="5"/>
  <c r="AE58" i="5"/>
  <c r="AE56" i="5"/>
  <c r="AW58" i="5"/>
  <c r="AW56" i="5"/>
  <c r="D58" i="5"/>
  <c r="D56" i="5"/>
  <c r="O58" i="5"/>
  <c r="O56" i="5"/>
  <c r="BR58" i="5"/>
  <c r="BR56" i="5"/>
  <c r="BS58" i="5"/>
  <c r="BS56" i="5"/>
  <c r="AZ58" i="5"/>
  <c r="AZ56" i="5"/>
  <c r="F58" i="5"/>
  <c r="F56" i="5"/>
  <c r="M58" i="5"/>
  <c r="M56" i="5"/>
  <c r="BU58" i="5"/>
  <c r="BU56" i="5"/>
  <c r="Y58" i="5"/>
  <c r="Y56" i="5"/>
  <c r="AG58" i="5"/>
  <c r="AG56" i="5"/>
  <c r="AO58" i="5"/>
  <c r="AO56" i="5"/>
  <c r="AJ58" i="5"/>
  <c r="AJ56" i="5"/>
  <c r="AV58" i="5"/>
  <c r="AV56" i="5"/>
  <c r="BC58" i="5"/>
  <c r="BC56" i="5"/>
  <c r="BK58" i="5"/>
  <c r="BK56" i="5"/>
  <c r="V58" i="5"/>
  <c r="V56" i="5"/>
  <c r="N58" i="5"/>
  <c r="N56" i="5"/>
  <c r="X58" i="5"/>
  <c r="X56" i="5"/>
  <c r="P58" i="5"/>
  <c r="P56" i="5"/>
  <c r="BA58" i="5"/>
  <c r="BA56" i="5"/>
  <c r="BI58" i="5"/>
  <c r="BI56" i="5"/>
  <c r="BM58" i="5"/>
  <c r="BM56" i="5"/>
  <c r="G58" i="5"/>
  <c r="G56" i="5"/>
  <c r="T58" i="5"/>
  <c r="T56" i="5"/>
  <c r="H58" i="5"/>
  <c r="H56" i="5"/>
  <c r="BD58" i="5"/>
  <c r="BD56" i="5"/>
  <c r="W58" i="5"/>
  <c r="W56" i="5"/>
  <c r="BY58" i="5"/>
  <c r="BY56" i="5"/>
  <c r="AH58" i="5"/>
  <c r="AH56" i="5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anil</author>
  </authors>
  <commentList>
    <comment ref="CA8" authorId="0" shapeId="0" xr:uid="{8DEC984D-8900-46E8-96BF-BD4539755112}">
      <text>
        <r>
          <rPr>
            <b/>
            <sz val="8"/>
            <color indexed="81"/>
            <rFont val="Tahoma"/>
            <family val="2"/>
          </rPr>
          <t>anil:</t>
        </r>
        <r>
          <rPr>
            <sz val="8"/>
            <color indexed="81"/>
            <rFont val="Tahoma"/>
            <family val="2"/>
          </rPr>
          <t xml:space="preserve">
Only  FP + Film and Bags</t>
        </r>
      </text>
    </comment>
    <comment ref="CA9" authorId="0" shapeId="0" xr:uid="{4523008C-DD73-4C94-8C60-752C0D7D27B0}">
      <text>
        <r>
          <rPr>
            <b/>
            <sz val="8"/>
            <color indexed="81"/>
            <rFont val="Tahoma"/>
            <family val="2"/>
          </rPr>
          <t>anil:</t>
        </r>
        <r>
          <rPr>
            <sz val="8"/>
            <color indexed="81"/>
            <rFont val="Tahoma"/>
            <family val="2"/>
          </rPr>
          <t xml:space="preserve">
only FP + Film and Bags</t>
        </r>
      </text>
    </comment>
  </commentList>
</comments>
</file>

<file path=xl/sharedStrings.xml><?xml version="1.0" encoding="utf-8"?>
<sst xmlns="http://schemas.openxmlformats.org/spreadsheetml/2006/main" count="240" uniqueCount="62">
  <si>
    <t>Sales</t>
  </si>
  <si>
    <t>Cost of Sales</t>
  </si>
  <si>
    <t>Material</t>
  </si>
  <si>
    <t>Labour</t>
  </si>
  <si>
    <t>Depreciation</t>
  </si>
  <si>
    <t>Electricity</t>
  </si>
  <si>
    <t>Others Mfg. overheads</t>
  </si>
  <si>
    <t>Actual Direct Cost Spent</t>
  </si>
  <si>
    <t>Dir.Cost in Stock/Stock Adj.</t>
  </si>
  <si>
    <t>Direct cost as % of C.O.G.S</t>
  </si>
  <si>
    <t>Gross profit (after Depn.)</t>
  </si>
  <si>
    <t>Selling expenses</t>
  </si>
  <si>
    <t>Transportation</t>
  </si>
  <si>
    <t>Bank interest</t>
  </si>
  <si>
    <t>Bank charges</t>
  </si>
  <si>
    <t>R &amp; D, pre-production w/o</t>
  </si>
  <si>
    <t>Other Income</t>
  </si>
  <si>
    <t>Net Profit</t>
  </si>
  <si>
    <t>Total Below GP Expenses</t>
  </si>
  <si>
    <t>Actual</t>
  </si>
  <si>
    <t>Budget</t>
  </si>
  <si>
    <t>Material cost as % of Sales</t>
  </si>
  <si>
    <t>Sales volume  (kg)</t>
  </si>
  <si>
    <t xml:space="preserve">Production volume (kg) </t>
  </si>
  <si>
    <t>Dir.Cost of  goods sold</t>
  </si>
  <si>
    <t>Dir.Cost of  goods sold  (SEWA disputed amt)</t>
  </si>
  <si>
    <t>Gross profit (after Depn.)  %</t>
  </si>
  <si>
    <t>Gross profit (before Depn.)</t>
  </si>
  <si>
    <t>Gross profit (before Depn.) %</t>
  </si>
  <si>
    <t>Sales ManpowerCost</t>
  </si>
  <si>
    <t>Sales Man Incentive</t>
  </si>
  <si>
    <t>Sales Office Rent</t>
  </si>
  <si>
    <t>Sales Travel and AirFare</t>
  </si>
  <si>
    <t>Advt / Exbn / Other Promotion</t>
  </si>
  <si>
    <t>Other Selling Expenses</t>
  </si>
  <si>
    <t>Administration Man Power Cost</t>
  </si>
  <si>
    <t>Telephone / Fax</t>
  </si>
  <si>
    <t>Other Administration Cost</t>
  </si>
  <si>
    <t xml:space="preserve">Administration </t>
  </si>
  <si>
    <t>Adj to Stock Prov.-Divn/Stock Valuation</t>
  </si>
  <si>
    <t>Net Profit  %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</si>
  <si>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</si>
  <si>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</si>
  <si>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</si>
  <si>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</si>
  <si>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</si>
  <si>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</si>
  <si>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</si>
  <si>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</si>
  <si>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</si>
  <si>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</si>
  <si>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</si>
  <si>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</si>
  <si>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Ledgers</t>
  </si>
  <si>
    <t xml:space="preserve">EBITDA </t>
  </si>
  <si>
    <t>EBITDA  %</t>
  </si>
  <si>
    <t>Total Expenses</t>
  </si>
  <si>
    <t>Total Expenses /Kg</t>
  </si>
  <si>
    <t>Total FinanceCost &amp; Amortization</t>
  </si>
  <si>
    <t>Other Provision</t>
  </si>
  <si>
    <t>Administration &amp; Management Fee</t>
  </si>
  <si>
    <t>Bad debts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</si>
</sst>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-* #,##0.00_-;\-* #,##0.00_-;_-* &quot;-&quot;??_-;_-@_-"/>
    <numFmt numFmtId="164" formatCode="_-* #,##0_-;\-* #,##0_-;_-* &quot;-&quot;??_-;_-@_-"/>
    <numFmt numFmtId="165" formatCode="0.00000"/>
    <numFmt numFmtId="166" formatCode="_(* #,##0_);_(* \(#,##0\);_(* &quot;-&quot;??_);_(@_)"/>
    <numFmt numFmtId="167" formatCode="_(* #,##0.00_);_(* \(#,##0.00\);_(* &quot;-&quot;??_);_(@_)"/>
  </numFmts>
  <fonts count="1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name val="Arial"/>
      <family val="2"/>
    </font>
    <font>
      <b/>
      <sz val="11"/>
      <name val="Arial"/>
      <family val="2"/>
    </font>
    <font>
      <sz val="11"/>
      <color rgb="FF0070C0"/>
      <name val="Calibri"/>
      <family val="2"/>
      <scheme val="minor"/>
    </font>
    <font>
      <b/>
      <sz val="11"/>
      <color rgb="FF0070C0"/>
      <name val="Calibri"/>
      <family val="2"/>
      <scheme val="minor"/>
    </font>
    <font>
      <sz val="11"/>
      <color theme="1"/>
      <name val="Arial"/>
      <family val="2"/>
    </font>
    <font>
      <sz val="10"/>
      <name val="Arial"/>
      <family val="2"/>
    </font>
    <font>
      <sz val="8"/>
      <color indexed="8"/>
      <name val="Arial"/>
      <family val="2"/>
    </font>
    <font>
      <sz val="11"/>
      <color rgb="FFFF0000"/>
      <name val="Arial"/>
      <family val="2"/>
    </font>
    <font>
      <b/>
      <sz val="11"/>
      <color theme="1"/>
      <name val="Arial"/>
      <family val="2"/>
    </font>
    <font>
      <b/>
      <sz val="8"/>
      <color indexed="81"/>
      <name val="Tahoma"/>
      <family val="2"/>
    </font>
    <font>
      <sz val="8"/>
      <color indexed="81"/>
      <name val="Tahoma"/>
      <family val="2"/>
    </font>
  </fonts>
  <fills count="4">
    <fill>
      <patternFill patternType="none"/>
    </fill>
    <fill>
      <patternFill patternType="gray125"/>
    </fill>
    <fill>
      <patternFill patternType="solid">
        <fgColor indexed="65"/>
        <bgColor indexed="64"/>
      </patternFill>
    </fill>
    <fill>
      <patternFill patternType="solid">
        <fgColor rgb="FFFFFFCC"/>
        <bgColor indexed="64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double">
        <color indexed="64"/>
      </left>
      <right style="double">
        <color indexed="64"/>
      </right>
      <top/>
      <bottom/>
      <diagonal/>
    </border>
  </borders>
  <cellStyleXfs count="9">
    <xf numFmtId="0" fontId="0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8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8" fillId="0" borderId="0"/>
    <xf numFmtId="0" fontId="8" fillId="0" borderId="0"/>
    <xf numFmtId="43" fontId="8" fillId="0" borderId="0" applyFont="0" applyFill="0" applyBorder="0" applyAlignment="0" applyProtection="0"/>
    <xf numFmtId="167" fontId="8" fillId="0" borderId="0" applyFont="0" applyFill="0" applyBorder="0" applyAlignment="0" applyProtection="0"/>
  </cellStyleXfs>
  <cellXfs count="30">
    <xf numFmtId="0" fontId="0" fillId="0" borderId="0" xfId="0"/>
    <xf numFmtId="164" fontId="1" fillId="0" borderId="1" xfId="1" applyNumberFormat="1" applyFont="1" applyBorder="1"/>
    <xf numFmtId="164" fontId="0" fillId="0" borderId="0" xfId="0" applyNumberFormat="1"/>
    <xf numFmtId="0" fontId="1" fillId="0" borderId="1" xfId="0" applyFont="1" applyBorder="1" applyAlignment="1">
      <alignment horizontal="center" vertical="center"/>
    </xf>
    <xf numFmtId="37" fontId="3" fillId="0" borderId="0" xfId="0" applyNumberFormat="1" applyFont="1"/>
    <xf numFmtId="37" fontId="3" fillId="0" borderId="0" xfId="0" applyNumberFormat="1" applyFont="1" applyAlignment="1">
      <alignment horizontal="left" vertical="center" wrapText="1"/>
    </xf>
    <xf numFmtId="37" fontId="4" fillId="0" borderId="0" xfId="0" applyNumberFormat="1" applyFont="1"/>
    <xf numFmtId="0" fontId="1" fillId="0" borderId="2" xfId="0" applyFont="1" applyBorder="1" applyAlignment="1">
      <alignment horizontal="center" vertical="center"/>
    </xf>
    <xf numFmtId="10" fontId="5" fillId="0" borderId="0" xfId="2" applyNumberFormat="1" applyFont="1"/>
    <xf numFmtId="164" fontId="5" fillId="0" borderId="0" xfId="0" applyNumberFormat="1" applyFont="1"/>
    <xf numFmtId="164" fontId="6" fillId="0" borderId="1" xfId="1" applyNumberFormat="1" applyFont="1" applyBorder="1"/>
    <xf numFmtId="10" fontId="6" fillId="0" borderId="1" xfId="2" applyNumberFormat="1" applyFont="1" applyBorder="1"/>
    <xf numFmtId="164" fontId="2" fillId="0" borderId="1" xfId="1" applyNumberFormat="1" applyFont="1" applyBorder="1"/>
    <xf numFmtId="164" fontId="6" fillId="0" borderId="0" xfId="0" applyNumberFormat="1" applyFont="1"/>
    <xf numFmtId="164" fontId="5" fillId="0" borderId="1" xfId="1" applyNumberFormat="1" applyFont="1" applyBorder="1"/>
    <xf numFmtId="0" fontId="1" fillId="0" borderId="0" xfId="0" applyFont="1"/>
    <xf numFmtId="165" fontId="0" fillId="0" borderId="0" xfId="0" applyNumberFormat="1"/>
    <xf numFmtId="37" fontId="3" fillId="2" borderId="0" xfId="0" applyNumberFormat="1" applyFont="1" applyFill="1"/>
    <xf numFmtId="164" fontId="1" fillId="0" borderId="3" xfId="1" applyNumberFormat="1" applyFont="1" applyBorder="1"/>
    <xf numFmtId="164" fontId="1" fillId="0" borderId="1" xfId="0" applyNumberFormat="1" applyFont="1" applyBorder="1"/>
    <xf numFmtId="166" fontId="7" fillId="0" borderId="4" xfId="1" applyNumberFormat="1" applyFont="1" applyBorder="1"/>
    <xf numFmtId="166" fontId="7" fillId="0" borderId="4" xfId="0" applyNumberFormat="1" applyFont="1" applyBorder="1"/>
    <xf numFmtId="10" fontId="7" fillId="0" borderId="4" xfId="2" applyNumberFormat="1" applyFont="1" applyBorder="1"/>
    <xf numFmtId="166" fontId="11" fillId="0" borderId="4" xfId="0" applyNumberFormat="1" applyFont="1" applyBorder="1"/>
    <xf numFmtId="10" fontId="11" fillId="0" borderId="4" xfId="2" applyNumberFormat="1" applyFont="1" applyBorder="1"/>
    <xf numFmtId="166" fontId="11" fillId="0" borderId="4" xfId="1" applyNumberFormat="1" applyFont="1" applyBorder="1"/>
    <xf numFmtId="164" fontId="10" fillId="3" borderId="4" xfId="1" applyNumberFormat="1" applyFont="1" applyFill="1" applyBorder="1"/>
    <xf numFmtId="0" fontId="5" fillId="0" borderId="0" xfId="0" applyFont="1"/>
    <xf numFmtId="165" fontId="5" fillId="0" borderId="0" xfId="0" applyNumberFormat="1" applyFont="1"/>
    <xf numFmtId="37" fontId="3" fillId="0" borderId="1" xfId="0" applyNumberFormat="1" applyFont="1" applyBorder="1"/>
  </cellXfs>
  <cellStyles count="9">
    <cellStyle name="Comma" xfId="1" builtinId="3"/>
    <cellStyle name="Comma 10 2" xfId="8" xr:uid="{8383BD88-83CD-4335-8592-48DCA6F7A892}"/>
    <cellStyle name="Comma 10 7 9" xfId="7" xr:uid="{83EA9121-0176-4A11-A70D-D693F79E4B81}"/>
    <cellStyle name="Comma 2 3" xfId="3" xr:uid="{A47AAC9F-F18A-4B28-B60C-09F9B2084E49}"/>
    <cellStyle name="Normal" xfId="0" builtinId="0"/>
    <cellStyle name="Normal 15 3" xfId="6" xr:uid="{3A4514F7-8639-4552-9E03-8FA5FD579D9E}"/>
    <cellStyle name="Normal 3 2" xfId="5" xr:uid="{A8AD8F0F-9AC4-4E07-A41C-F55C27045C26}"/>
    <cellStyle name="Percent" xfId="2" builtinId="5"/>
    <cellStyle name="Percent 2" xfId="4" xr:uid="{94D57BB7-E1EE-44D7-8661-4609CAE71BDB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9A68A8-668C-4345-8638-6323AF5068DD}">
  <dimension ref="A1:CU65"/>
  <sheetViews>
    <sheetView tabSelected="1" zoomScale="74" zoomScaleNormal="74" workbookViewId="0">
      <pane xSplit="1" ySplit="2" topLeftCell="B44" activePane="bottomRight" state="frozen"/>
      <selection pane="topRight" activeCell="B1" sqref="B1"/>
      <selection pane="bottomLeft" activeCell="A3" sqref="A3"/>
      <selection pane="bottomRight" activeCell="E69" sqref="E69"/>
    </sheetView>
  </sheetViews>
  <sheetFormatPr defaultRowHeight="14.4" x14ac:dyDescent="0.3"/>
  <cols>
    <col min="1" max="1" width="38.109375" bestFit="1" customWidth="1"/>
    <col min="2" max="4" width="11.6640625" bestFit="1" customWidth="1"/>
    <col min="5" max="5" width="11.109375" bestFit="1" customWidth="1"/>
    <col min="6" max="15" width="11.6640625" bestFit="1" customWidth="1"/>
    <col min="16" max="16" width="11.109375" bestFit="1" customWidth="1"/>
    <col min="17" max="18" width="11.6640625" bestFit="1" customWidth="1"/>
    <col min="19" max="19" width="10.6640625" bestFit="1" customWidth="1"/>
    <col min="20" max="20" width="11.109375" bestFit="1" customWidth="1"/>
    <col min="21" max="24" width="11.6640625" bestFit="1" customWidth="1"/>
    <col min="25" max="25" width="13.44140625" bestFit="1" customWidth="1"/>
    <col min="26" max="26" width="11.109375" bestFit="1" customWidth="1"/>
    <col min="27" max="31" width="11.6640625" bestFit="1" customWidth="1"/>
    <col min="32" max="35" width="13.44140625" bestFit="1" customWidth="1"/>
    <col min="36" max="48" width="11.6640625" bestFit="1" customWidth="1"/>
    <col min="49" max="49" width="11.109375" bestFit="1" customWidth="1"/>
    <col min="50" max="54" width="11.6640625" bestFit="1" customWidth="1"/>
    <col min="55" max="58" width="11.109375" bestFit="1" customWidth="1"/>
    <col min="59" max="59" width="10.6640625" bestFit="1" customWidth="1"/>
    <col min="60" max="74" width="11.6640625" bestFit="1" customWidth="1"/>
    <col min="75" max="75" width="12.6640625" bestFit="1" customWidth="1"/>
    <col min="76" max="76" width="11.109375" bestFit="1" customWidth="1"/>
    <col min="77" max="78" width="10.5546875" customWidth="1"/>
    <col min="79" max="79" width="12.44140625" customWidth="1"/>
    <col min="80" max="85" width="10.5546875" customWidth="1"/>
    <col min="86" max="96" width="11.5546875" bestFit="1" customWidth="1"/>
    <col min="97" max="97" width="12.88671875" customWidth="1"/>
    <col min="98" max="98" width="11.109375" customWidth="1"/>
    <col min="99" max="99" width="10.5546875" customWidth="1"/>
  </cols>
  <sheetData>
    <row r="1" spans="1:99" x14ac:dyDescent="0.3">
      <c r="B1" s="3">
        <v>2019</v>
      </c>
      <c r="C1" s="3">
        <v>2019</v>
      </c>
      <c r="D1" s="3">
        <v>2019</v>
      </c>
      <c r="E1" s="3">
        <v>2019</v>
      </c>
      <c r="F1" s="3">
        <v>2019</v>
      </c>
      <c r="G1" s="3">
        <v>2019</v>
      </c>
      <c r="H1" s="3">
        <v>2019</v>
      </c>
      <c r="I1" s="3">
        <v>2019</v>
      </c>
      <c r="J1" s="3">
        <v>2019</v>
      </c>
      <c r="K1" s="3">
        <v>2019</v>
      </c>
      <c r="L1" s="3">
        <v>2019</v>
      </c>
      <c r="M1" s="3">
        <v>2019</v>
      </c>
      <c r="N1" s="3">
        <v>2020</v>
      </c>
      <c r="O1" s="3">
        <v>2020</v>
      </c>
      <c r="P1" s="3">
        <v>2020</v>
      </c>
      <c r="Q1" s="3">
        <v>2020</v>
      </c>
      <c r="R1" s="3">
        <v>2020</v>
      </c>
      <c r="S1" s="3">
        <v>2020</v>
      </c>
      <c r="T1" s="3">
        <v>2020</v>
      </c>
      <c r="U1" s="3">
        <v>2020</v>
      </c>
      <c r="V1" s="3">
        <v>2020</v>
      </c>
      <c r="W1" s="3">
        <v>2020</v>
      </c>
      <c r="X1" s="3">
        <v>2020</v>
      </c>
      <c r="Y1" s="3">
        <v>2020</v>
      </c>
      <c r="Z1" s="7">
        <v>2021</v>
      </c>
      <c r="AA1" s="7">
        <v>2021</v>
      </c>
      <c r="AB1" s="7">
        <v>2021</v>
      </c>
      <c r="AC1" s="7">
        <v>2021</v>
      </c>
      <c r="AD1" s="7">
        <v>2021</v>
      </c>
      <c r="AE1" s="7">
        <v>2021</v>
      </c>
      <c r="AF1" s="7">
        <v>2021</v>
      </c>
      <c r="AG1" s="7">
        <v>2021</v>
      </c>
      <c r="AH1" s="7">
        <v>2021</v>
      </c>
      <c r="AI1" s="7">
        <v>2021</v>
      </c>
      <c r="AJ1" s="7">
        <v>2021</v>
      </c>
      <c r="AK1" s="7">
        <v>2021</v>
      </c>
      <c r="AL1" s="7">
        <v>2022</v>
      </c>
      <c r="AM1" s="7">
        <v>2022</v>
      </c>
      <c r="AN1" s="7">
        <v>2022</v>
      </c>
      <c r="AO1" s="7">
        <v>2022</v>
      </c>
      <c r="AP1" s="7">
        <v>2022</v>
      </c>
      <c r="AQ1" s="7">
        <v>2022</v>
      </c>
      <c r="AR1" s="7">
        <v>2022</v>
      </c>
      <c r="AS1" s="7">
        <v>2022</v>
      </c>
      <c r="AT1" s="7">
        <v>2022</v>
      </c>
      <c r="AU1" s="7">
        <v>2022</v>
      </c>
      <c r="AV1" s="7">
        <v>2022</v>
      </c>
      <c r="AW1" s="7">
        <v>2022</v>
      </c>
      <c r="AX1" s="7">
        <v>2023</v>
      </c>
      <c r="AY1" s="7">
        <v>2023</v>
      </c>
      <c r="AZ1" s="7">
        <v>2023</v>
      </c>
      <c r="BA1" s="7">
        <v>2023</v>
      </c>
      <c r="BB1" s="7">
        <v>2023</v>
      </c>
      <c r="BC1" s="7">
        <v>2023</v>
      </c>
      <c r="BD1" s="7">
        <v>2023</v>
      </c>
      <c r="BE1" s="7">
        <v>2023</v>
      </c>
      <c r="BF1" s="7">
        <v>2023</v>
      </c>
      <c r="BG1" s="7">
        <v>2023</v>
      </c>
      <c r="BH1" s="7">
        <v>2023</v>
      </c>
      <c r="BI1" s="7">
        <v>2023</v>
      </c>
      <c r="BJ1" s="7">
        <v>2024</v>
      </c>
      <c r="BK1" s="7">
        <v>2024</v>
      </c>
      <c r="BL1" s="7">
        <v>2024</v>
      </c>
      <c r="BM1" s="7">
        <v>2024</v>
      </c>
      <c r="BN1" s="7">
        <v>2024</v>
      </c>
      <c r="BO1" s="7">
        <v>2024</v>
      </c>
      <c r="BP1" s="7">
        <v>2024</v>
      </c>
      <c r="BQ1" s="7">
        <v>2024</v>
      </c>
      <c r="BR1" s="7">
        <v>2024</v>
      </c>
      <c r="BS1" s="7">
        <v>2024</v>
      </c>
      <c r="BT1" s="7">
        <v>2024</v>
      </c>
      <c r="BU1" s="7">
        <v>2024</v>
      </c>
      <c r="BV1" s="7">
        <v>2025</v>
      </c>
      <c r="BW1" s="7">
        <v>2025</v>
      </c>
      <c r="BX1" s="7">
        <v>2025</v>
      </c>
      <c r="BY1" s="7">
        <v>2025</v>
      </c>
      <c r="BZ1" s="7">
        <v>2025</v>
      </c>
      <c r="CA1" s="7">
        <v>2025</v>
      </c>
      <c r="CB1" s="7">
        <v>2025</v>
      </c>
      <c r="CC1" s="7">
        <v>2025</v>
      </c>
      <c r="CD1" s="7">
        <v>2025</v>
      </c>
      <c r="CE1" s="7">
        <v>2025</v>
      </c>
      <c r="CF1" s="7">
        <v>2025</v>
      </c>
      <c r="CG1" s="7">
        <v>2025</v>
      </c>
      <c r="CH1" s="7">
        <v>2025</v>
      </c>
      <c r="CI1" s="7">
        <v>2025</v>
      </c>
      <c r="CJ1" s="7">
        <v>2025</v>
      </c>
      <c r="CK1" s="7">
        <v>2025</v>
      </c>
      <c r="CL1" s="7">
        <v>2025</v>
      </c>
      <c r="CM1" s="7">
        <v>2025</v>
      </c>
      <c r="CN1" s="7">
        <v>2025</v>
      </c>
      <c r="CO1" s="7">
        <v>2025</v>
      </c>
      <c r="CP1" s="7">
        <v>2025</v>
      </c>
      <c r="CQ1" s="7">
        <v>2025</v>
      </c>
      <c r="CR1" s="7">
        <v>2025</v>
      </c>
      <c r="CS1" s="7">
        <v>2025</v>
      </c>
      <c r="CT1" s="7"/>
      <c r="CU1" s="7"/>
    </row>
    <row r="2" spans="1:99" x14ac:dyDescent="0.3">
      <c r="B2" s="3" t="s">
        <v>41</v>
      </c>
      <c r="C2" s="3" t="s">
        <v>42</v>
      </c>
      <c r="D2" s="3" t="s">
        <v>43</v>
      </c>
      <c r="E2" s="3" t="s">
        <v>44</v>
      </c>
      <c r="F2" s="3" t="s">
        <v>45</v>
      </c>
      <c r="G2" s="3" t="s">
        <v>46</v>
      </c>
      <c r="H2" s="3" t="s">
        <v>47</v>
      </c>
      <c r="I2" s="3" t="s">
        <v>48</v>
      </c>
      <c r="J2" s="3" t="s">
        <v>49</v>
      </c>
      <c r="K2" s="3" t="s">
        <v>50</v>
      </c>
      <c r="L2" s="3" t="s">
        <v>51</v>
      </c>
      <c r="M2" s="3" t="s">
        <v>52</v>
      </c>
      <c r="N2" s="3" t="s">
        <v>41</v>
      </c>
      <c r="O2" s="3" t="s">
        <v>42</v>
      </c>
      <c r="P2" s="3" t="s">
        <v>43</v>
      </c>
      <c r="Q2" s="3" t="s">
        <v>44</v>
      </c>
      <c r="R2" s="3" t="s">
        <v>45</v>
      </c>
      <c r="S2" s="3" t="s">
        <v>46</v>
      </c>
      <c r="T2" s="3" t="s">
        <v>47</v>
      </c>
      <c r="U2" s="3" t="s">
        <v>48</v>
      </c>
      <c r="V2" s="3" t="s">
        <v>49</v>
      </c>
      <c r="W2" s="3" t="s">
        <v>50</v>
      </c>
      <c r="X2" s="3" t="s">
        <v>51</v>
      </c>
      <c r="Y2" s="3" t="s">
        <v>52</v>
      </c>
      <c r="Z2" s="3" t="s">
        <v>41</v>
      </c>
      <c r="AA2" s="3" t="s">
        <v>42</v>
      </c>
      <c r="AB2" s="3" t="s">
        <v>43</v>
      </c>
      <c r="AC2" s="3" t="s">
        <v>44</v>
      </c>
      <c r="AD2" s="3" t="s">
        <v>45</v>
      </c>
      <c r="AE2" s="3" t="s">
        <v>46</v>
      </c>
      <c r="AF2" s="3" t="s">
        <v>47</v>
      </c>
      <c r="AG2" s="3" t="s">
        <v>48</v>
      </c>
      <c r="AH2" s="3" t="s">
        <v>49</v>
      </c>
      <c r="AI2" s="3" t="s">
        <v>50</v>
      </c>
      <c r="AJ2" s="3" t="s">
        <v>51</v>
      </c>
      <c r="AK2" s="3" t="s">
        <v>52</v>
      </c>
      <c r="AL2" s="3" t="s">
        <v>41</v>
      </c>
      <c r="AM2" s="3" t="s">
        <v>42</v>
      </c>
      <c r="AN2" s="3" t="s">
        <v>43</v>
      </c>
      <c r="AO2" s="3" t="s">
        <v>44</v>
      </c>
      <c r="AP2" s="3" t="s">
        <v>45</v>
      </c>
      <c r="AQ2" s="3" t="s">
        <v>46</v>
      </c>
      <c r="AR2" s="3" t="s">
        <v>47</v>
      </c>
      <c r="AS2" s="3" t="s">
        <v>48</v>
      </c>
      <c r="AT2" s="3" t="s">
        <v>49</v>
      </c>
      <c r="AU2" s="3" t="s">
        <v>50</v>
      </c>
      <c r="AV2" s="3" t="s">
        <v>51</v>
      </c>
      <c r="AW2" s="3" t="s">
        <v>52</v>
      </c>
      <c r="AX2" s="3" t="s">
        <v>41</v>
      </c>
      <c r="AY2" s="3" t="s">
        <v>42</v>
      </c>
      <c r="AZ2" s="3" t="s">
        <v>43</v>
      </c>
      <c r="BA2" s="3" t="s">
        <v>44</v>
      </c>
      <c r="BB2" s="3" t="s">
        <v>45</v>
      </c>
      <c r="BC2" s="3" t="s">
        <v>46</v>
      </c>
      <c r="BD2" s="3" t="s">
        <v>47</v>
      </c>
      <c r="BE2" s="3" t="s">
        <v>48</v>
      </c>
      <c r="BF2" s="3" t="s">
        <v>49</v>
      </c>
      <c r="BG2" s="3" t="s">
        <v>50</v>
      </c>
      <c r="BH2" s="3" t="s">
        <v>51</v>
      </c>
      <c r="BI2" s="3" t="s">
        <v>52</v>
      </c>
      <c r="BJ2" s="3" t="s">
        <v>41</v>
      </c>
      <c r="BK2" s="3" t="s">
        <v>42</v>
      </c>
      <c r="BL2" s="3" t="s">
        <v>43</v>
      </c>
      <c r="BM2" s="3" t="s">
        <v>44</v>
      </c>
      <c r="BN2" s="3" t="s">
        <v>45</v>
      </c>
      <c r="BO2" s="3" t="s">
        <v>46</v>
      </c>
      <c r="BP2" s="3" t="s">
        <v>47</v>
      </c>
      <c r="BQ2" s="3" t="s">
        <v>48</v>
      </c>
      <c r="BR2" s="3" t="s">
        <v>49</v>
      </c>
      <c r="BS2" s="3" t="s">
        <v>50</v>
      </c>
      <c r="BT2" s="3" t="s">
        <v>51</v>
      </c>
      <c r="BU2" s="3" t="s">
        <v>52</v>
      </c>
      <c r="BV2" s="3" t="s">
        <v>41</v>
      </c>
      <c r="BW2" s="3" t="s">
        <v>42</v>
      </c>
      <c r="BX2" s="3" t="s">
        <v>43</v>
      </c>
      <c r="BY2" s="3" t="s">
        <v>44</v>
      </c>
      <c r="BZ2" s="3" t="s">
        <v>45</v>
      </c>
      <c r="CA2" s="3" t="s">
        <v>46</v>
      </c>
      <c r="CB2" s="3" t="s">
        <v>47</v>
      </c>
      <c r="CC2" s="3" t="s">
        <v>48</v>
      </c>
      <c r="CD2" s="3" t="s">
        <v>49</v>
      </c>
      <c r="CE2" s="3" t="s">
        <v>50</v>
      </c>
      <c r="CF2" s="3" t="s">
        <v>51</v>
      </c>
      <c r="CG2" s="3" t="s">
        <v>52</v>
      </c>
      <c r="CH2" s="3" t="s">
        <v>41</v>
      </c>
      <c r="CI2" s="3" t="s">
        <v>42</v>
      </c>
      <c r="CJ2" s="3" t="s">
        <v>43</v>
      </c>
      <c r="CK2" s="3" t="s">
        <v>44</v>
      </c>
      <c r="CL2" s="3" t="s">
        <v>45</v>
      </c>
      <c r="CM2" s="3" t="s">
        <v>46</v>
      </c>
      <c r="CN2" s="3" t="s">
        <v>47</v>
      </c>
      <c r="CO2" s="3" t="s">
        <v>48</v>
      </c>
      <c r="CP2" s="3" t="s">
        <v>49</v>
      </c>
      <c r="CQ2" s="3" t="s">
        <v>50</v>
      </c>
      <c r="CR2" s="3" t="s">
        <v>51</v>
      </c>
      <c r="CS2" s="3" t="s">
        <v>52</v>
      </c>
      <c r="CT2" s="3"/>
      <c r="CU2" s="3"/>
    </row>
    <row r="3" spans="1:99" x14ac:dyDescent="0.3">
      <c r="A3" s="15" t="s">
        <v>53</v>
      </c>
      <c r="B3" s="3" t="s">
        <v>19</v>
      </c>
      <c r="C3" s="3" t="s">
        <v>19</v>
      </c>
      <c r="D3" s="3" t="s">
        <v>19</v>
      </c>
      <c r="E3" s="3" t="s">
        <v>19</v>
      </c>
      <c r="F3" s="3" t="s">
        <v>19</v>
      </c>
      <c r="G3" s="3" t="s">
        <v>19</v>
      </c>
      <c r="H3" s="3" t="s">
        <v>19</v>
      </c>
      <c r="I3" s="3" t="s">
        <v>19</v>
      </c>
      <c r="J3" s="3" t="s">
        <v>19</v>
      </c>
      <c r="K3" s="3" t="s">
        <v>19</v>
      </c>
      <c r="L3" s="3" t="s">
        <v>19</v>
      </c>
      <c r="M3" s="3" t="s">
        <v>19</v>
      </c>
      <c r="N3" s="3" t="s">
        <v>19</v>
      </c>
      <c r="O3" s="3" t="s">
        <v>19</v>
      </c>
      <c r="P3" s="3" t="s">
        <v>19</v>
      </c>
      <c r="Q3" s="3" t="s">
        <v>19</v>
      </c>
      <c r="R3" s="3" t="s">
        <v>19</v>
      </c>
      <c r="S3" s="3" t="s">
        <v>19</v>
      </c>
      <c r="T3" s="3" t="s">
        <v>19</v>
      </c>
      <c r="U3" s="3" t="s">
        <v>19</v>
      </c>
      <c r="V3" s="3" t="s">
        <v>19</v>
      </c>
      <c r="W3" s="3" t="s">
        <v>19</v>
      </c>
      <c r="X3" s="3" t="s">
        <v>19</v>
      </c>
      <c r="Y3" s="3" t="s">
        <v>19</v>
      </c>
      <c r="Z3" s="3" t="s">
        <v>19</v>
      </c>
      <c r="AA3" s="3" t="s">
        <v>19</v>
      </c>
      <c r="AB3" s="3" t="s">
        <v>19</v>
      </c>
      <c r="AC3" s="3" t="s">
        <v>19</v>
      </c>
      <c r="AD3" s="3" t="s">
        <v>19</v>
      </c>
      <c r="AE3" s="3" t="s">
        <v>19</v>
      </c>
      <c r="AF3" s="3" t="s">
        <v>19</v>
      </c>
      <c r="AG3" s="3" t="s">
        <v>19</v>
      </c>
      <c r="AH3" s="3" t="s">
        <v>19</v>
      </c>
      <c r="AI3" s="3" t="s">
        <v>19</v>
      </c>
      <c r="AJ3" s="3" t="s">
        <v>19</v>
      </c>
      <c r="AK3" s="3" t="s">
        <v>19</v>
      </c>
      <c r="AL3" s="3" t="s">
        <v>19</v>
      </c>
      <c r="AM3" s="3" t="s">
        <v>19</v>
      </c>
      <c r="AN3" s="3" t="s">
        <v>19</v>
      </c>
      <c r="AO3" s="3" t="s">
        <v>19</v>
      </c>
      <c r="AP3" s="3" t="s">
        <v>19</v>
      </c>
      <c r="AQ3" s="3" t="s">
        <v>19</v>
      </c>
      <c r="AR3" s="3" t="s">
        <v>19</v>
      </c>
      <c r="AS3" s="3" t="s">
        <v>19</v>
      </c>
      <c r="AT3" s="3" t="s">
        <v>19</v>
      </c>
      <c r="AU3" s="3" t="s">
        <v>19</v>
      </c>
      <c r="AV3" s="3" t="s">
        <v>19</v>
      </c>
      <c r="AW3" s="3" t="s">
        <v>19</v>
      </c>
      <c r="AX3" s="3" t="s">
        <v>19</v>
      </c>
      <c r="AY3" s="3" t="s">
        <v>19</v>
      </c>
      <c r="AZ3" s="3" t="s">
        <v>19</v>
      </c>
      <c r="BA3" s="3" t="s">
        <v>19</v>
      </c>
      <c r="BB3" s="3" t="s">
        <v>19</v>
      </c>
      <c r="BC3" s="3" t="s">
        <v>19</v>
      </c>
      <c r="BD3" s="3" t="s">
        <v>19</v>
      </c>
      <c r="BE3" s="3" t="s">
        <v>19</v>
      </c>
      <c r="BF3" s="3" t="s">
        <v>19</v>
      </c>
      <c r="BG3" s="3" t="s">
        <v>19</v>
      </c>
      <c r="BH3" s="3" t="s">
        <v>19</v>
      </c>
      <c r="BI3" s="3" t="s">
        <v>19</v>
      </c>
      <c r="BJ3" s="3" t="s">
        <v>19</v>
      </c>
      <c r="BK3" s="3" t="s">
        <v>19</v>
      </c>
      <c r="BL3" s="3" t="s">
        <v>19</v>
      </c>
      <c r="BM3" s="3" t="s">
        <v>19</v>
      </c>
      <c r="BN3" s="3" t="s">
        <v>19</v>
      </c>
      <c r="BO3" s="3" t="s">
        <v>19</v>
      </c>
      <c r="BP3" s="3" t="s">
        <v>19</v>
      </c>
      <c r="BQ3" s="3" t="s">
        <v>19</v>
      </c>
      <c r="BR3" s="3" t="s">
        <v>19</v>
      </c>
      <c r="BS3" s="3" t="s">
        <v>19</v>
      </c>
      <c r="BT3" s="3" t="s">
        <v>19</v>
      </c>
      <c r="BU3" s="3" t="s">
        <v>19</v>
      </c>
      <c r="BV3" s="3" t="s">
        <v>19</v>
      </c>
      <c r="BW3" s="3" t="s">
        <v>19</v>
      </c>
      <c r="BX3" s="3" t="s">
        <v>19</v>
      </c>
      <c r="BY3" s="3" t="s">
        <v>19</v>
      </c>
      <c r="BZ3" s="3" t="s">
        <v>19</v>
      </c>
      <c r="CA3" s="3" t="s">
        <v>19</v>
      </c>
      <c r="CB3" s="3" t="s">
        <v>19</v>
      </c>
      <c r="CC3" s="3" t="s">
        <v>19</v>
      </c>
      <c r="CD3" s="3" t="s">
        <v>19</v>
      </c>
      <c r="CE3" s="3" t="s">
        <v>19</v>
      </c>
      <c r="CF3" s="3" t="s">
        <v>19</v>
      </c>
      <c r="CG3" s="3" t="s">
        <v>19</v>
      </c>
      <c r="CH3" s="7" t="s">
        <v>20</v>
      </c>
      <c r="CI3" s="7" t="s">
        <v>20</v>
      </c>
      <c r="CJ3" s="7" t="s">
        <v>20</v>
      </c>
      <c r="CK3" s="7" t="s">
        <v>20</v>
      </c>
      <c r="CL3" s="7" t="s">
        <v>20</v>
      </c>
      <c r="CM3" s="7" t="s">
        <v>20</v>
      </c>
      <c r="CN3" s="7" t="s">
        <v>20</v>
      </c>
      <c r="CO3" s="7" t="s">
        <v>20</v>
      </c>
      <c r="CP3" s="7" t="s">
        <v>20</v>
      </c>
      <c r="CQ3" s="7" t="s">
        <v>20</v>
      </c>
      <c r="CR3" s="7" t="s">
        <v>20</v>
      </c>
      <c r="CS3" s="7" t="s">
        <v>20</v>
      </c>
      <c r="CT3" s="7"/>
      <c r="CU3" s="7"/>
    </row>
    <row r="4" spans="1:99" x14ac:dyDescent="0.3">
      <c r="A4" s="6" t="s">
        <v>0</v>
      </c>
      <c r="B4" s="1">
        <v>1402263.5899999999</v>
      </c>
      <c r="C4" s="1">
        <v>1578125.3499999999</v>
      </c>
      <c r="D4" s="1">
        <v>1677688.32</v>
      </c>
      <c r="E4" s="1">
        <v>1811520.5499999998</v>
      </c>
      <c r="F4" s="1">
        <v>1756884.54</v>
      </c>
      <c r="G4" s="1">
        <v>1621405.4</v>
      </c>
      <c r="H4" s="1">
        <v>1518850.52</v>
      </c>
      <c r="I4" s="1">
        <v>1345380.92</v>
      </c>
      <c r="J4" s="1">
        <v>1361673.9000000001</v>
      </c>
      <c r="K4" s="1">
        <v>1302365.3599999999</v>
      </c>
      <c r="L4" s="1">
        <v>1376799.88</v>
      </c>
      <c r="M4" s="1">
        <v>1359509.43</v>
      </c>
      <c r="N4" s="1">
        <v>1324722.5699999998</v>
      </c>
      <c r="O4" s="1">
        <v>1499710.39</v>
      </c>
      <c r="P4" s="1">
        <v>1502421.2500000002</v>
      </c>
      <c r="Q4" s="1">
        <v>930924.52</v>
      </c>
      <c r="R4" s="1">
        <v>847343.22</v>
      </c>
      <c r="S4" s="1">
        <v>805464.39</v>
      </c>
      <c r="T4" s="1">
        <v>1208804.4200000002</v>
      </c>
      <c r="U4" s="1">
        <v>1429453.2200000002</v>
      </c>
      <c r="V4" s="1">
        <v>1307107.81</v>
      </c>
      <c r="W4" s="1">
        <v>1195890.1399999999</v>
      </c>
      <c r="X4" s="1">
        <v>1366365.6400000001</v>
      </c>
      <c r="Y4" s="1">
        <v>1359416.4300000002</v>
      </c>
      <c r="Z4" s="1">
        <v>1534848.86</v>
      </c>
      <c r="AA4" s="1">
        <v>1565295.67</v>
      </c>
      <c r="AB4" s="1">
        <v>1707129.0699999998</v>
      </c>
      <c r="AC4" s="1">
        <v>1609152.4200000002</v>
      </c>
      <c r="AD4" s="1">
        <v>1618679.0299999998</v>
      </c>
      <c r="AE4" s="1">
        <v>1631742.72</v>
      </c>
      <c r="AF4" s="1">
        <v>1614843.48</v>
      </c>
      <c r="AG4" s="1">
        <v>1801610.2</v>
      </c>
      <c r="AH4" s="1">
        <v>1910189.9199999997</v>
      </c>
      <c r="AI4" s="1">
        <v>1948616.02</v>
      </c>
      <c r="AJ4" s="1">
        <v>1814910.66</v>
      </c>
      <c r="AK4" s="1">
        <v>1463663.83</v>
      </c>
      <c r="AL4" s="1">
        <v>1868756.34</v>
      </c>
      <c r="AM4" s="1">
        <v>1657482.1800000002</v>
      </c>
      <c r="AN4" s="1">
        <v>2050757.9700000002</v>
      </c>
      <c r="AO4" s="1">
        <v>2191448.46</v>
      </c>
      <c r="AP4" s="1">
        <v>1625828.3900000001</v>
      </c>
      <c r="AQ4" s="1">
        <v>1873688.56</v>
      </c>
      <c r="AR4" s="1">
        <v>1846821.51</v>
      </c>
      <c r="AS4" s="1">
        <v>1916633.77</v>
      </c>
      <c r="AT4" s="1">
        <v>1849049.7</v>
      </c>
      <c r="AU4" s="1">
        <v>1570120.7300000002</v>
      </c>
      <c r="AV4" s="1">
        <v>1988696.1000000003</v>
      </c>
      <c r="AW4" s="1">
        <v>1187438.53</v>
      </c>
      <c r="AX4" s="1">
        <v>2010333.2200000002</v>
      </c>
      <c r="AY4" s="1">
        <v>1746281.5299999998</v>
      </c>
      <c r="AZ4" s="1">
        <v>1633218.8399999999</v>
      </c>
      <c r="BA4" s="1">
        <v>1629041.24</v>
      </c>
      <c r="BB4" s="1">
        <v>1025619.99</v>
      </c>
      <c r="BC4" s="1">
        <v>1559325.6300000001</v>
      </c>
      <c r="BD4" s="1">
        <v>1396595.84</v>
      </c>
      <c r="BE4" s="1">
        <v>1321826.1800000002</v>
      </c>
      <c r="BF4" s="1">
        <v>829207.58000000007</v>
      </c>
      <c r="BG4" s="1">
        <v>902941.72</v>
      </c>
      <c r="BH4" s="1">
        <v>1020769.2600000001</v>
      </c>
      <c r="BI4" s="1">
        <v>691559.58000000007</v>
      </c>
      <c r="BJ4" s="1">
        <v>1515148.2100000004</v>
      </c>
      <c r="BK4" s="1">
        <v>1398013.0499999998</v>
      </c>
      <c r="BL4" s="1">
        <v>1047372.4199999999</v>
      </c>
      <c r="BM4" s="1">
        <v>976751.86</v>
      </c>
      <c r="BN4" s="1">
        <v>1034395.4200000002</v>
      </c>
      <c r="BO4" s="1">
        <v>883509.08000000019</v>
      </c>
      <c r="BP4" s="1">
        <v>818485.32</v>
      </c>
      <c r="BQ4" s="1">
        <v>825260.63</v>
      </c>
      <c r="BR4" s="1">
        <v>1284630.83</v>
      </c>
      <c r="BS4" s="1">
        <v>961395.04999999993</v>
      </c>
      <c r="BT4" s="1">
        <v>1182840.01</v>
      </c>
      <c r="BU4" s="1">
        <v>1155608.58</v>
      </c>
      <c r="BV4" s="1">
        <v>1592601.6000000001</v>
      </c>
      <c r="BW4" s="1">
        <v>1102345.24</v>
      </c>
      <c r="BX4" s="1">
        <v>1104390.52</v>
      </c>
      <c r="BY4" s="1">
        <v>839632.29000000015</v>
      </c>
      <c r="BZ4" s="1">
        <v>1009738.95</v>
      </c>
      <c r="CA4" s="20"/>
      <c r="CB4" s="1"/>
      <c r="CC4" s="1"/>
      <c r="CD4" s="1"/>
      <c r="CE4" s="1"/>
      <c r="CF4" s="1"/>
      <c r="CG4" s="1"/>
      <c r="CH4" s="1">
        <v>1237500</v>
      </c>
      <c r="CI4" s="1">
        <v>1291000</v>
      </c>
      <c r="CJ4" s="1">
        <v>1285000</v>
      </c>
      <c r="CK4" s="1">
        <v>1281200</v>
      </c>
      <c r="CL4" s="1">
        <v>1252300</v>
      </c>
      <c r="CM4" s="1">
        <v>1189000</v>
      </c>
      <c r="CN4" s="1">
        <v>1189000</v>
      </c>
      <c r="CO4" s="1">
        <v>1189000</v>
      </c>
      <c r="CP4" s="1">
        <v>1189000</v>
      </c>
      <c r="CQ4" s="1">
        <v>1189000</v>
      </c>
      <c r="CR4" s="1">
        <v>1189000</v>
      </c>
      <c r="CS4" s="1">
        <v>1189000</v>
      </c>
      <c r="CT4" s="1"/>
      <c r="CU4" s="1"/>
    </row>
    <row r="5" spans="1:99" x14ac:dyDescent="0.3">
      <c r="A5" s="4" t="s">
        <v>1</v>
      </c>
      <c r="B5" s="9">
        <f>B6+B17</f>
        <v>1120444.33</v>
      </c>
      <c r="C5" s="9">
        <f t="shared" ref="C5:BN5" si="0">C6+C17</f>
        <v>1244204.1200000001</v>
      </c>
      <c r="D5" s="9">
        <f t="shared" si="0"/>
        <v>1340281.01</v>
      </c>
      <c r="E5" s="9">
        <f t="shared" si="0"/>
        <v>1452157.07</v>
      </c>
      <c r="F5" s="9">
        <f t="shared" si="0"/>
        <v>1391817.06</v>
      </c>
      <c r="G5" s="9">
        <f t="shared" si="0"/>
        <v>1345441.84</v>
      </c>
      <c r="H5" s="9">
        <f t="shared" si="0"/>
        <v>1232887.98</v>
      </c>
      <c r="I5" s="9">
        <f t="shared" si="0"/>
        <v>1174620.4099999999</v>
      </c>
      <c r="J5" s="9">
        <f t="shared" si="0"/>
        <v>1143364.18</v>
      </c>
      <c r="K5" s="9">
        <f t="shared" si="0"/>
        <v>1070218.03</v>
      </c>
      <c r="L5" s="9">
        <f t="shared" si="0"/>
        <v>1192796.8799999999</v>
      </c>
      <c r="M5" s="9">
        <f t="shared" si="0"/>
        <v>1324471.4300000002</v>
      </c>
      <c r="N5" s="9">
        <f t="shared" si="0"/>
        <v>1144476.05</v>
      </c>
      <c r="O5" s="9">
        <f t="shared" si="0"/>
        <v>1230223.3699999999</v>
      </c>
      <c r="P5" s="9">
        <f t="shared" si="0"/>
        <v>1153680.3700000001</v>
      </c>
      <c r="Q5" s="9">
        <f t="shared" si="0"/>
        <v>768393.3899999999</v>
      </c>
      <c r="R5" s="9">
        <f t="shared" si="0"/>
        <v>701440.2</v>
      </c>
      <c r="S5" s="9">
        <f t="shared" si="0"/>
        <v>634141.1100000001</v>
      </c>
      <c r="T5" s="9">
        <f t="shared" si="0"/>
        <v>925436.99</v>
      </c>
      <c r="U5" s="9">
        <f t="shared" si="0"/>
        <v>1058590.8999999999</v>
      </c>
      <c r="V5" s="9">
        <f t="shared" si="0"/>
        <v>1074752.8400000001</v>
      </c>
      <c r="W5" s="9">
        <f t="shared" si="0"/>
        <v>995653.85000000009</v>
      </c>
      <c r="X5" s="9">
        <f t="shared" si="0"/>
        <v>1033582.4400000001</v>
      </c>
      <c r="Y5" s="9">
        <f t="shared" si="0"/>
        <v>886325.64</v>
      </c>
      <c r="Z5" s="9">
        <f t="shared" si="0"/>
        <v>1211483.4100000001</v>
      </c>
      <c r="AA5" s="9">
        <f t="shared" si="0"/>
        <v>1188680.6000000001</v>
      </c>
      <c r="AB5" s="9">
        <f t="shared" si="0"/>
        <v>1278192.1000000001</v>
      </c>
      <c r="AC5" s="9">
        <f t="shared" si="0"/>
        <v>1252718.8</v>
      </c>
      <c r="AD5" s="9">
        <f t="shared" si="0"/>
        <v>1233640.27</v>
      </c>
      <c r="AE5" s="9">
        <f t="shared" si="0"/>
        <v>1279710.6499999999</v>
      </c>
      <c r="AF5" s="9">
        <f t="shared" si="0"/>
        <v>1299798.9099999999</v>
      </c>
      <c r="AG5" s="9">
        <f t="shared" si="0"/>
        <v>1458293.3599999999</v>
      </c>
      <c r="AH5" s="9">
        <f t="shared" si="0"/>
        <v>1559023.29</v>
      </c>
      <c r="AI5" s="9">
        <f t="shared" si="0"/>
        <v>1572710.17</v>
      </c>
      <c r="AJ5" s="9">
        <f t="shared" si="0"/>
        <v>1453467.4100000001</v>
      </c>
      <c r="AK5" s="9">
        <f t="shared" si="0"/>
        <v>1168007.53</v>
      </c>
      <c r="AL5" s="9">
        <f t="shared" si="0"/>
        <v>1501247.5</v>
      </c>
      <c r="AM5" s="9">
        <f t="shared" si="0"/>
        <v>1345955.3199999998</v>
      </c>
      <c r="AN5" s="9">
        <f t="shared" si="0"/>
        <v>1619446.95</v>
      </c>
      <c r="AO5" s="9">
        <f t="shared" si="0"/>
        <v>1780304.24</v>
      </c>
      <c r="AP5" s="9">
        <f t="shared" si="0"/>
        <v>1306162.21</v>
      </c>
      <c r="AQ5" s="9">
        <f t="shared" si="0"/>
        <v>1525789.95</v>
      </c>
      <c r="AR5" s="9">
        <f t="shared" si="0"/>
        <v>1602066.85</v>
      </c>
      <c r="AS5" s="9">
        <f t="shared" si="0"/>
        <v>1757989.99</v>
      </c>
      <c r="AT5" s="9">
        <f t="shared" si="0"/>
        <v>1624631.4300000002</v>
      </c>
      <c r="AU5" s="9">
        <f t="shared" si="0"/>
        <v>1476743.2799999998</v>
      </c>
      <c r="AV5" s="9">
        <f t="shared" si="0"/>
        <v>1837292.0999999999</v>
      </c>
      <c r="AW5" s="9">
        <f t="shared" si="0"/>
        <v>1218445.25</v>
      </c>
      <c r="AX5" s="9">
        <f t="shared" si="0"/>
        <v>1816967.59</v>
      </c>
      <c r="AY5" s="9">
        <f t="shared" si="0"/>
        <v>1578317.87</v>
      </c>
      <c r="AZ5" s="9">
        <f t="shared" si="0"/>
        <v>1534994.1700000002</v>
      </c>
      <c r="BA5" s="9">
        <f t="shared" si="0"/>
        <v>1570263.35</v>
      </c>
      <c r="BB5" s="9">
        <f t="shared" si="0"/>
        <v>1196440.1200000001</v>
      </c>
      <c r="BC5" s="9">
        <f t="shared" si="0"/>
        <v>1589508.65</v>
      </c>
      <c r="BD5" s="9">
        <f t="shared" si="0"/>
        <v>1481538.5100000002</v>
      </c>
      <c r="BE5" s="9">
        <f t="shared" si="0"/>
        <v>1527354.1500000001</v>
      </c>
      <c r="BF5" s="9">
        <f t="shared" si="0"/>
        <v>1027037.77</v>
      </c>
      <c r="BG5" s="9">
        <f t="shared" si="0"/>
        <v>1101518.19</v>
      </c>
      <c r="BH5" s="9">
        <f t="shared" si="0"/>
        <v>1202157.1499999999</v>
      </c>
      <c r="BI5" s="9">
        <f t="shared" si="0"/>
        <v>874946.74</v>
      </c>
      <c r="BJ5" s="9">
        <f t="shared" si="0"/>
        <v>1536128.69</v>
      </c>
      <c r="BK5" s="9">
        <f t="shared" si="0"/>
        <v>1372773.08</v>
      </c>
      <c r="BL5" s="9">
        <f t="shared" si="0"/>
        <v>1175778</v>
      </c>
      <c r="BM5" s="9">
        <f t="shared" si="0"/>
        <v>1136244.02</v>
      </c>
      <c r="BN5" s="9">
        <f t="shared" si="0"/>
        <v>1132701.95</v>
      </c>
      <c r="BO5" s="9">
        <f t="shared" ref="BO5:CS5" si="1">BO6+BO17</f>
        <v>999490.2</v>
      </c>
      <c r="BP5" s="9">
        <f t="shared" si="1"/>
        <v>1009436.8800000001</v>
      </c>
      <c r="BQ5" s="9">
        <f t="shared" si="1"/>
        <v>1000630.2300000001</v>
      </c>
      <c r="BR5" s="9">
        <f t="shared" si="1"/>
        <v>1330074.75</v>
      </c>
      <c r="BS5" s="9">
        <f t="shared" si="1"/>
        <v>1074374.57</v>
      </c>
      <c r="BT5" s="9">
        <f t="shared" si="1"/>
        <v>1238129.1500000001</v>
      </c>
      <c r="BU5" s="9">
        <f t="shared" si="1"/>
        <v>1163593.3800000001</v>
      </c>
      <c r="BV5" s="9">
        <f>BV6+BV17</f>
        <v>1556104.71</v>
      </c>
      <c r="BW5" s="9">
        <f t="shared" si="1"/>
        <v>1119723.6299999999</v>
      </c>
      <c r="BX5" s="9">
        <f t="shared" si="1"/>
        <v>1131474.55</v>
      </c>
      <c r="BY5" s="9">
        <f t="shared" si="1"/>
        <v>921946.34000000008</v>
      </c>
      <c r="BZ5" s="9">
        <f t="shared" ref="BZ5" si="2">BZ6+BZ17</f>
        <v>1134091.17</v>
      </c>
      <c r="CA5" s="21"/>
      <c r="CB5" s="9"/>
      <c r="CC5" s="9"/>
      <c r="CD5" s="9"/>
      <c r="CE5" s="9"/>
      <c r="CF5" s="9"/>
      <c r="CG5" s="9"/>
      <c r="CH5" s="9">
        <f t="shared" si="1"/>
        <v>1295386.78</v>
      </c>
      <c r="CI5" s="9">
        <f t="shared" si="1"/>
        <v>1336396.78</v>
      </c>
      <c r="CJ5" s="9">
        <f t="shared" si="1"/>
        <v>1332686.78</v>
      </c>
      <c r="CK5" s="9">
        <f t="shared" si="1"/>
        <v>1325128.78</v>
      </c>
      <c r="CL5" s="9">
        <f t="shared" si="1"/>
        <v>1297854.78</v>
      </c>
      <c r="CM5" s="9">
        <f t="shared" si="1"/>
        <v>1128120.2182439023</v>
      </c>
      <c r="CN5" s="9">
        <f t="shared" si="1"/>
        <v>1128120.2182439023</v>
      </c>
      <c r="CO5" s="9">
        <f t="shared" si="1"/>
        <v>1128120.2182439023</v>
      </c>
      <c r="CP5" s="9">
        <f t="shared" si="1"/>
        <v>1128120.2182439023</v>
      </c>
      <c r="CQ5" s="9">
        <f t="shared" si="1"/>
        <v>1128120.2182439023</v>
      </c>
      <c r="CR5" s="9">
        <f t="shared" si="1"/>
        <v>1128120.2182439023</v>
      </c>
      <c r="CS5" s="9">
        <f t="shared" si="1"/>
        <v>1128120.2182439023</v>
      </c>
    </row>
    <row r="6" spans="1:99" x14ac:dyDescent="0.3">
      <c r="A6" s="4" t="s">
        <v>2</v>
      </c>
      <c r="B6" s="1">
        <v>716544.64</v>
      </c>
      <c r="C6" s="1">
        <v>842929.54</v>
      </c>
      <c r="D6" s="1">
        <v>737004.01</v>
      </c>
      <c r="E6" s="1">
        <v>947033.07000000007</v>
      </c>
      <c r="F6" s="1">
        <v>903071.77</v>
      </c>
      <c r="G6" s="1">
        <v>882727.03</v>
      </c>
      <c r="H6" s="1">
        <v>831692.83</v>
      </c>
      <c r="I6" s="1">
        <v>759353.62999999989</v>
      </c>
      <c r="J6" s="1">
        <v>766057.58</v>
      </c>
      <c r="K6" s="1">
        <v>691223.25</v>
      </c>
      <c r="L6" s="1">
        <v>788712.94</v>
      </c>
      <c r="M6" s="1">
        <v>791108.32000000007</v>
      </c>
      <c r="N6" s="1">
        <v>744121.86</v>
      </c>
      <c r="O6" s="1">
        <v>796620.57</v>
      </c>
      <c r="P6" s="1">
        <v>732836.23</v>
      </c>
      <c r="Q6" s="1">
        <v>446782.97</v>
      </c>
      <c r="R6" s="1">
        <v>394501.84</v>
      </c>
      <c r="S6" s="1">
        <v>357092.31</v>
      </c>
      <c r="T6" s="1">
        <v>565410.13</v>
      </c>
      <c r="U6" s="1">
        <v>655975.27999999991</v>
      </c>
      <c r="V6" s="1">
        <v>598583.26</v>
      </c>
      <c r="W6" s="1">
        <v>611292.04</v>
      </c>
      <c r="X6" s="1">
        <v>681737.95000000007</v>
      </c>
      <c r="Y6" s="1">
        <v>621520.28</v>
      </c>
      <c r="Z6" s="1">
        <v>784531.92</v>
      </c>
      <c r="AA6" s="1">
        <v>793262.81</v>
      </c>
      <c r="AB6" s="1">
        <v>871661.3600000001</v>
      </c>
      <c r="AC6" s="1">
        <v>761767.06</v>
      </c>
      <c r="AD6" s="1">
        <v>780491.3</v>
      </c>
      <c r="AE6" s="1">
        <v>808017.91999999993</v>
      </c>
      <c r="AF6" s="1">
        <v>808810.7699999999</v>
      </c>
      <c r="AG6" s="1">
        <v>904425.67</v>
      </c>
      <c r="AH6" s="1">
        <v>991714.14</v>
      </c>
      <c r="AI6" s="1">
        <v>982893.22</v>
      </c>
      <c r="AJ6" s="1">
        <v>940050.92</v>
      </c>
      <c r="AK6" s="1">
        <v>734199.69000000006</v>
      </c>
      <c r="AL6" s="1">
        <v>1009278.62</v>
      </c>
      <c r="AM6" s="1">
        <v>870924.29999999993</v>
      </c>
      <c r="AN6" s="1">
        <v>1071099.1399999999</v>
      </c>
      <c r="AO6" s="1">
        <v>1209605.98</v>
      </c>
      <c r="AP6" s="1">
        <v>872822.77</v>
      </c>
      <c r="AQ6" s="1">
        <v>1038626.11</v>
      </c>
      <c r="AR6" s="1">
        <v>1119641.8700000001</v>
      </c>
      <c r="AS6" s="1">
        <v>1178540.28</v>
      </c>
      <c r="AT6" s="1">
        <v>1059437</v>
      </c>
      <c r="AU6" s="1">
        <v>945378.03999999992</v>
      </c>
      <c r="AV6" s="1">
        <v>1269158.8499999999</v>
      </c>
      <c r="AW6" s="1">
        <v>768158.24</v>
      </c>
      <c r="AX6" s="1">
        <v>1239007.96</v>
      </c>
      <c r="AY6" s="1">
        <v>1044306.35</v>
      </c>
      <c r="AZ6" s="1">
        <v>1028711.9400000001</v>
      </c>
      <c r="BA6" s="1">
        <v>1130568.46</v>
      </c>
      <c r="BB6" s="1">
        <v>666270.47</v>
      </c>
      <c r="BC6" s="1">
        <v>1001555.51</v>
      </c>
      <c r="BD6" s="1">
        <v>928496.3600000001</v>
      </c>
      <c r="BE6" s="1">
        <v>984855.85000000009</v>
      </c>
      <c r="BF6" s="1">
        <v>525387.79</v>
      </c>
      <c r="BG6" s="1">
        <v>602235.52</v>
      </c>
      <c r="BH6" s="1">
        <v>703636.93</v>
      </c>
      <c r="BI6" s="1">
        <v>467468.37</v>
      </c>
      <c r="BJ6" s="1">
        <v>987603.11</v>
      </c>
      <c r="BK6" s="1">
        <v>915401.26</v>
      </c>
      <c r="BL6" s="1">
        <v>699871.46</v>
      </c>
      <c r="BM6" s="1">
        <v>666871.77</v>
      </c>
      <c r="BN6" s="1">
        <v>646634.63</v>
      </c>
      <c r="BO6" s="1">
        <v>533766.17000000004</v>
      </c>
      <c r="BP6" s="1">
        <v>549262.57000000007</v>
      </c>
      <c r="BQ6" s="1">
        <v>544151.20000000007</v>
      </c>
      <c r="BR6" s="1">
        <v>881723.29</v>
      </c>
      <c r="BS6" s="1">
        <v>619257.49</v>
      </c>
      <c r="BT6" s="1">
        <v>794256.97000000009</v>
      </c>
      <c r="BU6" s="1">
        <v>723287.46000000008</v>
      </c>
      <c r="BV6" s="1">
        <v>1035285.1900000001</v>
      </c>
      <c r="BW6" s="1">
        <v>691024.21</v>
      </c>
      <c r="BX6" s="1">
        <v>686889.16</v>
      </c>
      <c r="BY6" s="1">
        <v>506487.19</v>
      </c>
      <c r="BZ6" s="1">
        <v>708280.26</v>
      </c>
      <c r="CA6" s="20"/>
      <c r="CB6" s="1"/>
      <c r="CC6" s="1"/>
      <c r="CD6" s="1"/>
      <c r="CE6" s="1"/>
      <c r="CF6" s="1"/>
      <c r="CG6" s="1"/>
      <c r="CH6" s="1">
        <v>810700</v>
      </c>
      <c r="CI6" s="1">
        <v>840500</v>
      </c>
      <c r="CJ6" s="1">
        <v>835650</v>
      </c>
      <c r="CK6" s="1">
        <v>826820</v>
      </c>
      <c r="CL6" s="1">
        <v>793280</v>
      </c>
      <c r="CM6" s="1">
        <v>723000</v>
      </c>
      <c r="CN6" s="1">
        <v>723000</v>
      </c>
      <c r="CO6" s="1">
        <v>723000</v>
      </c>
      <c r="CP6" s="1">
        <v>723000</v>
      </c>
      <c r="CQ6" s="1">
        <v>723000</v>
      </c>
      <c r="CR6" s="1">
        <v>723000</v>
      </c>
      <c r="CS6" s="1">
        <v>723000</v>
      </c>
    </row>
    <row r="7" spans="1:99" x14ac:dyDescent="0.3">
      <c r="A7" s="4" t="s">
        <v>21</v>
      </c>
      <c r="B7" s="8">
        <f>B6/B4</f>
        <v>0.51099140354917161</v>
      </c>
      <c r="C7" s="8">
        <f t="shared" ref="C7:BN7" si="3">C6/C4</f>
        <v>0.53413345143970981</v>
      </c>
      <c r="D7" s="8">
        <f t="shared" si="3"/>
        <v>0.43929733622989042</v>
      </c>
      <c r="E7" s="8">
        <f t="shared" si="3"/>
        <v>0.5227835091354609</v>
      </c>
      <c r="F7" s="8">
        <f t="shared" si="3"/>
        <v>0.51401884952553567</v>
      </c>
      <c r="G7" s="8">
        <f t="shared" si="3"/>
        <v>0.54442092643826157</v>
      </c>
      <c r="H7" s="8">
        <f t="shared" si="3"/>
        <v>0.54758043602605477</v>
      </c>
      <c r="I7" s="8">
        <f t="shared" si="3"/>
        <v>0.56441534045242736</v>
      </c>
      <c r="J7" s="8">
        <f t="shared" si="3"/>
        <v>0.56258519752783676</v>
      </c>
      <c r="K7" s="8">
        <f t="shared" si="3"/>
        <v>0.53074449860982176</v>
      </c>
      <c r="L7" s="8">
        <f t="shared" si="3"/>
        <v>0.57285953569374226</v>
      </c>
      <c r="M7" s="8">
        <f t="shared" si="3"/>
        <v>0.58190719574486516</v>
      </c>
      <c r="N7" s="8">
        <f t="shared" si="3"/>
        <v>0.56171901713730155</v>
      </c>
      <c r="O7" s="8">
        <f t="shared" si="3"/>
        <v>0.53118293726030663</v>
      </c>
      <c r="P7" s="8">
        <f t="shared" si="3"/>
        <v>0.48777014435864768</v>
      </c>
      <c r="Q7" s="8">
        <f t="shared" si="3"/>
        <v>0.47993468901216607</v>
      </c>
      <c r="R7" s="8">
        <f t="shared" si="3"/>
        <v>0.46557502401447198</v>
      </c>
      <c r="S7" s="8">
        <f t="shared" si="3"/>
        <v>0.44333717844435061</v>
      </c>
      <c r="T7" s="8">
        <f t="shared" si="3"/>
        <v>0.46774326817898293</v>
      </c>
      <c r="U7" s="8">
        <f t="shared" si="3"/>
        <v>0.45889943848599662</v>
      </c>
      <c r="V7" s="8">
        <f t="shared" si="3"/>
        <v>0.45794482706059264</v>
      </c>
      <c r="W7" s="8">
        <f t="shared" si="3"/>
        <v>0.51116069909230966</v>
      </c>
      <c r="X7" s="8">
        <f t="shared" si="3"/>
        <v>0.49894254513016006</v>
      </c>
      <c r="Y7" s="8">
        <f t="shared" si="3"/>
        <v>0.45719638683490088</v>
      </c>
      <c r="Z7" s="8">
        <f t="shared" si="3"/>
        <v>0.51114604209303061</v>
      </c>
      <c r="AA7" s="8">
        <f t="shared" si="3"/>
        <v>0.50678145043357858</v>
      </c>
      <c r="AB7" s="8">
        <f t="shared" si="3"/>
        <v>0.51060073624075786</v>
      </c>
      <c r="AC7" s="8">
        <f t="shared" si="3"/>
        <v>0.47339646047948647</v>
      </c>
      <c r="AD7" s="8">
        <f t="shared" si="3"/>
        <v>0.4821779275166122</v>
      </c>
      <c r="AE7" s="8">
        <f t="shared" si="3"/>
        <v>0.49518708439526543</v>
      </c>
      <c r="AF7" s="8">
        <f t="shared" si="3"/>
        <v>0.50086016385934806</v>
      </c>
      <c r="AG7" s="8">
        <f t="shared" si="3"/>
        <v>0.50200963005205013</v>
      </c>
      <c r="AH7" s="8">
        <f t="shared" si="3"/>
        <v>0.51917043934563334</v>
      </c>
      <c r="AI7" s="8">
        <f t="shared" si="3"/>
        <v>0.50440579873709546</v>
      </c>
      <c r="AJ7" s="8">
        <f t="shared" si="3"/>
        <v>0.51795988679685212</v>
      </c>
      <c r="AK7" s="8">
        <f t="shared" si="3"/>
        <v>0.50161770411447548</v>
      </c>
      <c r="AL7" s="8">
        <f t="shared" si="3"/>
        <v>0.54008037238284368</v>
      </c>
      <c r="AM7" s="8">
        <f t="shared" si="3"/>
        <v>0.52545017407064964</v>
      </c>
      <c r="AN7" s="8">
        <f t="shared" si="3"/>
        <v>0.52229427151756957</v>
      </c>
      <c r="AO7" s="8">
        <f t="shared" si="3"/>
        <v>0.55196642863323375</v>
      </c>
      <c r="AP7" s="8">
        <f t="shared" si="3"/>
        <v>0.53684803105203494</v>
      </c>
      <c r="AQ7" s="8">
        <f t="shared" si="3"/>
        <v>0.55432163710280646</v>
      </c>
      <c r="AR7" s="8">
        <f t="shared" si="3"/>
        <v>0.60625342727354314</v>
      </c>
      <c r="AS7" s="8">
        <f t="shared" si="3"/>
        <v>0.61490113471182339</v>
      </c>
      <c r="AT7" s="8">
        <f t="shared" si="3"/>
        <v>0.5729629657872366</v>
      </c>
      <c r="AU7" s="8">
        <f t="shared" si="3"/>
        <v>0.60210531708603054</v>
      </c>
      <c r="AV7" s="8">
        <f t="shared" si="3"/>
        <v>0.63818642275207338</v>
      </c>
      <c r="AW7" s="8">
        <f t="shared" si="3"/>
        <v>0.64690358329538122</v>
      </c>
      <c r="AX7" s="8">
        <f t="shared" si="3"/>
        <v>0.61631969649290275</v>
      </c>
      <c r="AY7" s="8">
        <f t="shared" si="3"/>
        <v>0.5980171765316673</v>
      </c>
      <c r="AZ7" s="8">
        <f t="shared" si="3"/>
        <v>0.62986778918127106</v>
      </c>
      <c r="BA7" s="8">
        <f t="shared" si="3"/>
        <v>0.69400849545098076</v>
      </c>
      <c r="BB7" s="8">
        <f t="shared" si="3"/>
        <v>0.6496270319380183</v>
      </c>
      <c r="BC7" s="8">
        <f t="shared" si="3"/>
        <v>0.64230042188173353</v>
      </c>
      <c r="BD7" s="8">
        <f t="shared" si="3"/>
        <v>0.66482824408241115</v>
      </c>
      <c r="BE7" s="8">
        <f t="shared" si="3"/>
        <v>0.74507213195005717</v>
      </c>
      <c r="BF7" s="8">
        <f t="shared" si="3"/>
        <v>0.63360225192345687</v>
      </c>
      <c r="BG7" s="8">
        <f t="shared" si="3"/>
        <v>0.66697053271610929</v>
      </c>
      <c r="BH7" s="8">
        <f t="shared" si="3"/>
        <v>0.68932025833144694</v>
      </c>
      <c r="BI7" s="8">
        <f t="shared" si="3"/>
        <v>0.67596253962673747</v>
      </c>
      <c r="BJ7" s="8">
        <f t="shared" si="3"/>
        <v>0.65181947447900146</v>
      </c>
      <c r="BK7" s="8">
        <f t="shared" si="3"/>
        <v>0.6547873498033514</v>
      </c>
      <c r="BL7" s="8">
        <f t="shared" si="3"/>
        <v>0.668216430598774</v>
      </c>
      <c r="BM7" s="8">
        <f t="shared" si="3"/>
        <v>0.68274430519128981</v>
      </c>
      <c r="BN7" s="8">
        <f t="shared" si="3"/>
        <v>0.62513292063880166</v>
      </c>
      <c r="BO7" s="8">
        <f t="shared" ref="BO7:CS7" si="4">BO6/BO4</f>
        <v>0.60414338922244004</v>
      </c>
      <c r="BP7" s="8">
        <f t="shared" si="4"/>
        <v>0.67107198697222825</v>
      </c>
      <c r="BQ7" s="8">
        <f t="shared" si="4"/>
        <v>0.65936890749289723</v>
      </c>
      <c r="BR7" s="8">
        <f t="shared" si="4"/>
        <v>0.68636317096640131</v>
      </c>
      <c r="BS7" s="8">
        <f t="shared" si="4"/>
        <v>0.64412385938537964</v>
      </c>
      <c r="BT7" s="8">
        <f t="shared" si="4"/>
        <v>0.67148300977745934</v>
      </c>
      <c r="BU7" s="8">
        <f t="shared" si="4"/>
        <v>0.62589312031587718</v>
      </c>
      <c r="BV7" s="8">
        <f t="shared" si="4"/>
        <v>0.65005911710750508</v>
      </c>
      <c r="BW7" s="8">
        <f t="shared" si="4"/>
        <v>0.62686732334418205</v>
      </c>
      <c r="BX7" s="8">
        <f t="shared" si="4"/>
        <v>0.62196220228330101</v>
      </c>
      <c r="BY7" s="8">
        <f t="shared" si="4"/>
        <v>0.60322500222091258</v>
      </c>
      <c r="BZ7" s="8">
        <f t="shared" ref="BZ7" si="5">BZ6/BZ4</f>
        <v>0.70144888438739539</v>
      </c>
      <c r="CA7" s="22"/>
      <c r="CB7" s="8"/>
      <c r="CC7" s="8"/>
      <c r="CD7" s="8"/>
      <c r="CE7" s="8"/>
      <c r="CF7" s="8"/>
      <c r="CG7" s="8"/>
      <c r="CH7" s="8">
        <f>CH6/CH4</f>
        <v>0.65511111111111109</v>
      </c>
      <c r="CI7" s="8">
        <f t="shared" si="4"/>
        <v>0.65104570100697134</v>
      </c>
      <c r="CJ7" s="8">
        <f t="shared" si="4"/>
        <v>0.65031128404669258</v>
      </c>
      <c r="CK7" s="8">
        <f t="shared" si="4"/>
        <v>0.64534811114580082</v>
      </c>
      <c r="CL7" s="8">
        <f t="shared" si="4"/>
        <v>0.63345843647688249</v>
      </c>
      <c r="CM7" s="8">
        <f t="shared" si="4"/>
        <v>0.60807401177460052</v>
      </c>
      <c r="CN7" s="8">
        <f t="shared" si="4"/>
        <v>0.60807401177460052</v>
      </c>
      <c r="CO7" s="8">
        <f t="shared" si="4"/>
        <v>0.60807401177460052</v>
      </c>
      <c r="CP7" s="8">
        <f t="shared" si="4"/>
        <v>0.60807401177460052</v>
      </c>
      <c r="CQ7" s="8">
        <f t="shared" si="4"/>
        <v>0.60807401177460052</v>
      </c>
      <c r="CR7" s="8">
        <f t="shared" si="4"/>
        <v>0.60807401177460052</v>
      </c>
      <c r="CS7" s="8">
        <f t="shared" si="4"/>
        <v>0.60807401177460052</v>
      </c>
    </row>
    <row r="8" spans="1:99" x14ac:dyDescent="0.3">
      <c r="A8" s="6" t="s">
        <v>22</v>
      </c>
      <c r="B8" s="12">
        <v>111228</v>
      </c>
      <c r="C8" s="12">
        <v>143934</v>
      </c>
      <c r="D8" s="12">
        <v>137723</v>
      </c>
      <c r="E8" s="12">
        <v>154640</v>
      </c>
      <c r="F8" s="12">
        <v>138753</v>
      </c>
      <c r="G8" s="12">
        <v>119843</v>
      </c>
      <c r="H8" s="12">
        <v>122358</v>
      </c>
      <c r="I8" s="12">
        <v>104956</v>
      </c>
      <c r="J8" s="12">
        <v>119356</v>
      </c>
      <c r="K8" s="12">
        <v>96875</v>
      </c>
      <c r="L8" s="12">
        <v>114134</v>
      </c>
      <c r="M8" s="12">
        <v>105454</v>
      </c>
      <c r="N8" s="12">
        <v>101796</v>
      </c>
      <c r="O8" s="12">
        <v>116821</v>
      </c>
      <c r="P8" s="12">
        <v>114702</v>
      </c>
      <c r="Q8" s="12">
        <v>73100</v>
      </c>
      <c r="R8" s="12">
        <v>71999</v>
      </c>
      <c r="S8" s="12">
        <v>75731</v>
      </c>
      <c r="T8" s="12">
        <v>108957</v>
      </c>
      <c r="U8" s="12">
        <v>137194</v>
      </c>
      <c r="V8" s="12">
        <v>120164</v>
      </c>
      <c r="W8" s="12">
        <v>113131</v>
      </c>
      <c r="X8" s="12">
        <v>122386</v>
      </c>
      <c r="Y8" s="12">
        <v>128864</v>
      </c>
      <c r="Z8" s="12">
        <v>135296</v>
      </c>
      <c r="AA8" s="12">
        <v>145909</v>
      </c>
      <c r="AB8" s="12">
        <v>151341</v>
      </c>
      <c r="AC8" s="12">
        <v>134483</v>
      </c>
      <c r="AD8" s="12">
        <v>146044</v>
      </c>
      <c r="AE8" s="12">
        <v>169654</v>
      </c>
      <c r="AF8" s="12">
        <v>140728</v>
      </c>
      <c r="AG8" s="12">
        <v>156714</v>
      </c>
      <c r="AH8" s="12">
        <v>165629</v>
      </c>
      <c r="AI8" s="12">
        <v>165143</v>
      </c>
      <c r="AJ8" s="12">
        <v>145768</v>
      </c>
      <c r="AK8" s="12">
        <v>132687</v>
      </c>
      <c r="AL8" s="12">
        <v>150032.065</v>
      </c>
      <c r="AM8" s="12">
        <v>133176.65499999997</v>
      </c>
      <c r="AN8" s="12">
        <v>152140.24999999988</v>
      </c>
      <c r="AO8" s="12">
        <v>165080.17999999988</v>
      </c>
      <c r="AP8" s="12">
        <v>119713.46999999999</v>
      </c>
      <c r="AQ8" s="12">
        <v>135497.78099999993</v>
      </c>
      <c r="AR8" s="12">
        <v>149500.16999999981</v>
      </c>
      <c r="AS8" s="12">
        <v>155175.40399999995</v>
      </c>
      <c r="AT8" s="12">
        <v>155832.51499999996</v>
      </c>
      <c r="AU8" s="12">
        <v>147619.61500000002</v>
      </c>
      <c r="AV8" s="12">
        <v>182925.58499999996</v>
      </c>
      <c r="AW8" s="12">
        <v>115875.08999999998</v>
      </c>
      <c r="AX8" s="12">
        <v>152504.84000000008</v>
      </c>
      <c r="AY8" s="12">
        <v>140867.86999999997</v>
      </c>
      <c r="AZ8" s="12">
        <v>142288.23000000004</v>
      </c>
      <c r="BA8" s="12">
        <v>153194.15</v>
      </c>
      <c r="BB8" s="12">
        <v>101113.88000000002</v>
      </c>
      <c r="BC8" s="12">
        <v>160282.73000000001</v>
      </c>
      <c r="BD8" s="12">
        <v>154365.66999999998</v>
      </c>
      <c r="BE8" s="12">
        <v>164929.08000000005</v>
      </c>
      <c r="BF8" s="12">
        <v>95509.62000000001</v>
      </c>
      <c r="BG8" s="12">
        <v>99080.82</v>
      </c>
      <c r="BH8" s="12">
        <v>107226.85</v>
      </c>
      <c r="BI8" s="12">
        <v>98842.71</v>
      </c>
      <c r="BJ8" s="12">
        <v>189775.11</v>
      </c>
      <c r="BK8" s="12">
        <v>202497.64</v>
      </c>
      <c r="BL8" s="12">
        <v>102907.01</v>
      </c>
      <c r="BM8" s="12">
        <v>123609.04000000002</v>
      </c>
      <c r="BN8" s="12">
        <v>105499.79999999999</v>
      </c>
      <c r="BO8" s="12">
        <v>88059.999999999985</v>
      </c>
      <c r="BP8" s="12">
        <v>82784.02999999997</v>
      </c>
      <c r="BQ8" s="12">
        <v>95538.440000000017</v>
      </c>
      <c r="BR8" s="12">
        <v>154798.69</v>
      </c>
      <c r="BS8" s="12">
        <v>113786.13</v>
      </c>
      <c r="BT8" s="12">
        <v>164411.67999999993</v>
      </c>
      <c r="BU8" s="12">
        <v>182168.59</v>
      </c>
      <c r="BV8" s="12">
        <v>182121.93000000002</v>
      </c>
      <c r="BW8" s="12">
        <v>110013.90000000002</v>
      </c>
      <c r="BX8" s="12">
        <v>115742.59</v>
      </c>
      <c r="BY8" s="12">
        <v>86146.059999999969</v>
      </c>
      <c r="BZ8" s="12">
        <v>125358.39999999999</v>
      </c>
      <c r="CA8" s="26"/>
      <c r="CB8" s="12"/>
      <c r="CC8" s="12"/>
      <c r="CD8" s="12"/>
      <c r="CE8" s="12"/>
      <c r="CF8" s="12"/>
      <c r="CG8" s="12"/>
      <c r="CH8" s="12">
        <v>138650</v>
      </c>
      <c r="CI8" s="12">
        <v>139750</v>
      </c>
      <c r="CJ8" s="12">
        <v>144650</v>
      </c>
      <c r="CK8" s="12">
        <v>137950</v>
      </c>
      <c r="CL8" s="12">
        <v>128330</v>
      </c>
      <c r="CM8" s="12">
        <v>110900</v>
      </c>
      <c r="CN8" s="12">
        <v>110900</v>
      </c>
      <c r="CO8" s="12">
        <v>110900</v>
      </c>
      <c r="CP8" s="12">
        <v>110900</v>
      </c>
      <c r="CQ8" s="12">
        <v>110900</v>
      </c>
      <c r="CR8" s="12">
        <v>110900</v>
      </c>
      <c r="CS8" s="12">
        <v>110900</v>
      </c>
    </row>
    <row r="9" spans="1:99" x14ac:dyDescent="0.3">
      <c r="A9" s="4" t="s">
        <v>23</v>
      </c>
      <c r="B9" s="12">
        <v>75830.329000000042</v>
      </c>
      <c r="C9" s="12">
        <v>145720.10999999999</v>
      </c>
      <c r="D9" s="12">
        <v>103041.10649999997</v>
      </c>
      <c r="E9" s="12">
        <v>106379.224</v>
      </c>
      <c r="F9" s="12">
        <v>84595.35500000001</v>
      </c>
      <c r="G9" s="12">
        <v>99835.48</v>
      </c>
      <c r="H9" s="12">
        <v>105618.94199999997</v>
      </c>
      <c r="I9" s="12">
        <v>97793.089999999982</v>
      </c>
      <c r="J9" s="12">
        <v>103877.09999999996</v>
      </c>
      <c r="K9" s="12">
        <v>98704.51999999999</v>
      </c>
      <c r="L9" s="12">
        <v>106022.53000000001</v>
      </c>
      <c r="M9" s="12">
        <v>-30992.014999999985</v>
      </c>
      <c r="N9" s="12">
        <v>96906.960999999981</v>
      </c>
      <c r="O9" s="12">
        <v>98409.625</v>
      </c>
      <c r="P9" s="12">
        <v>121842.853</v>
      </c>
      <c r="Q9" s="12">
        <v>74119.680000000008</v>
      </c>
      <c r="R9" s="12">
        <v>36487.225000000006</v>
      </c>
      <c r="S9" s="12">
        <v>52417.040999999997</v>
      </c>
      <c r="T9" s="12">
        <v>95628.146999999997</v>
      </c>
      <c r="U9" s="12">
        <v>124210.47500000001</v>
      </c>
      <c r="V9" s="12">
        <v>111421.75</v>
      </c>
      <c r="W9" s="12">
        <v>106791.65999999996</v>
      </c>
      <c r="X9" s="12">
        <v>81050.735000000015</v>
      </c>
      <c r="Y9" s="12">
        <v>141568.93900000004</v>
      </c>
      <c r="Z9" s="12">
        <v>138585.15000000005</v>
      </c>
      <c r="AA9" s="12">
        <v>114838.06499999999</v>
      </c>
      <c r="AB9" s="12">
        <v>137710.56499999997</v>
      </c>
      <c r="AC9" s="12">
        <v>126550.72999999998</v>
      </c>
      <c r="AD9" s="12">
        <v>141917.60600000003</v>
      </c>
      <c r="AE9" s="12">
        <v>153357.76500000004</v>
      </c>
      <c r="AF9" s="12">
        <v>51298.66</v>
      </c>
      <c r="AG9" s="12">
        <v>148205.49699999997</v>
      </c>
      <c r="AH9" s="12">
        <v>155751.56200000001</v>
      </c>
      <c r="AI9" s="12">
        <v>116617.60999999999</v>
      </c>
      <c r="AJ9" s="12">
        <v>-13563.23900000001</v>
      </c>
      <c r="AK9" s="12">
        <v>139072.79499999998</v>
      </c>
      <c r="AL9" s="12">
        <v>157885.86500000002</v>
      </c>
      <c r="AM9" s="12">
        <v>131586.99</v>
      </c>
      <c r="AN9" s="12">
        <v>156461.57500000004</v>
      </c>
      <c r="AO9" s="12">
        <v>159003.88000000003</v>
      </c>
      <c r="AP9" s="12">
        <v>119004.08500000002</v>
      </c>
      <c r="AQ9" s="12">
        <v>124070.63500000001</v>
      </c>
      <c r="AR9" s="12">
        <v>128265.18399999996</v>
      </c>
      <c r="AS9" s="12">
        <v>161705.89999999994</v>
      </c>
      <c r="AT9" s="12">
        <v>146125.96499999997</v>
      </c>
      <c r="AU9" s="12">
        <v>138948.16500000001</v>
      </c>
      <c r="AV9" s="12">
        <v>184118.24600000004</v>
      </c>
      <c r="AW9" s="12">
        <v>143674.33999999997</v>
      </c>
      <c r="AX9" s="12">
        <v>144867.46999999997</v>
      </c>
      <c r="AY9" s="12">
        <v>138514.44</v>
      </c>
      <c r="AZ9" s="12">
        <v>127228.95</v>
      </c>
      <c r="BA9" s="12">
        <v>152708.83499999999</v>
      </c>
      <c r="BB9" s="12">
        <v>98528.70299999998</v>
      </c>
      <c r="BC9" s="12">
        <v>160731.02000000002</v>
      </c>
      <c r="BD9" s="12">
        <v>155307.66500000001</v>
      </c>
      <c r="BE9" s="12">
        <v>164713.19000000009</v>
      </c>
      <c r="BF9" s="12">
        <v>103885.88249999998</v>
      </c>
      <c r="BG9" s="12">
        <v>96091.142500000016</v>
      </c>
      <c r="BH9" s="12">
        <v>132267.99200000003</v>
      </c>
      <c r="BI9" s="12">
        <v>177014.33999999997</v>
      </c>
      <c r="BJ9" s="12">
        <v>141002.68500000003</v>
      </c>
      <c r="BK9" s="12">
        <v>199895.05499999999</v>
      </c>
      <c r="BL9" s="12">
        <v>109310.09000000001</v>
      </c>
      <c r="BM9" s="12">
        <v>117993.18000000001</v>
      </c>
      <c r="BN9" s="12">
        <v>101877.90999999997</v>
      </c>
      <c r="BO9" s="12">
        <v>78001.52</v>
      </c>
      <c r="BP9" s="12">
        <v>76210.86500000002</v>
      </c>
      <c r="BQ9" s="12">
        <v>95813.090000000011</v>
      </c>
      <c r="BR9" s="12">
        <v>139370.125</v>
      </c>
      <c r="BS9" s="12">
        <v>108308.64100000002</v>
      </c>
      <c r="BT9" s="12">
        <v>166596.15500000003</v>
      </c>
      <c r="BU9" s="12">
        <v>191453.57499999998</v>
      </c>
      <c r="BV9" s="12">
        <v>165930.04300000001</v>
      </c>
      <c r="BW9" s="12">
        <v>112749.92249999996</v>
      </c>
      <c r="BX9" s="12">
        <v>116133.675</v>
      </c>
      <c r="BY9" s="12">
        <v>85137.56749999999</v>
      </c>
      <c r="BZ9" s="12">
        <v>123026.89499999999</v>
      </c>
      <c r="CA9" s="26"/>
      <c r="CB9" s="12"/>
      <c r="CC9" s="12"/>
      <c r="CD9" s="12"/>
      <c r="CE9" s="12"/>
      <c r="CF9" s="12"/>
      <c r="CG9" s="12"/>
      <c r="CH9" s="12">
        <v>0</v>
      </c>
      <c r="CI9" s="12">
        <v>0</v>
      </c>
      <c r="CJ9" s="12">
        <v>0</v>
      </c>
      <c r="CK9" s="12">
        <v>0</v>
      </c>
      <c r="CL9" s="12">
        <v>0</v>
      </c>
      <c r="CM9" s="12">
        <v>0</v>
      </c>
      <c r="CN9" s="12">
        <v>0</v>
      </c>
      <c r="CO9" s="12">
        <v>0</v>
      </c>
      <c r="CP9" s="12">
        <v>0</v>
      </c>
      <c r="CQ9" s="12">
        <v>0</v>
      </c>
      <c r="CR9" s="12">
        <v>0</v>
      </c>
      <c r="CS9" s="12">
        <v>0</v>
      </c>
    </row>
    <row r="10" spans="1:99" x14ac:dyDescent="0.3">
      <c r="A10" s="4" t="s">
        <v>3</v>
      </c>
      <c r="B10" s="12">
        <v>163527.39000000001</v>
      </c>
      <c r="C10" s="12">
        <v>168205.78</v>
      </c>
      <c r="D10" s="12">
        <v>164643.97</v>
      </c>
      <c r="E10" s="12">
        <v>158321.68</v>
      </c>
      <c r="F10" s="12">
        <v>168947.03000000003</v>
      </c>
      <c r="G10" s="12">
        <v>180740.99</v>
      </c>
      <c r="H10" s="12">
        <v>180878.52000000002</v>
      </c>
      <c r="I10" s="12">
        <v>150943.25</v>
      </c>
      <c r="J10" s="12">
        <v>163088.80000000002</v>
      </c>
      <c r="K10" s="12">
        <v>161852.88</v>
      </c>
      <c r="L10" s="12">
        <v>163977.59999999998</v>
      </c>
      <c r="M10" s="12">
        <v>192321.97999999998</v>
      </c>
      <c r="N10" s="12">
        <v>159850.76</v>
      </c>
      <c r="O10" s="12">
        <v>160352.43</v>
      </c>
      <c r="P10" s="12">
        <v>164016.24</v>
      </c>
      <c r="Q10" s="12">
        <v>149880.10999999999</v>
      </c>
      <c r="R10" s="12">
        <v>153906.56</v>
      </c>
      <c r="S10" s="12">
        <v>151289.26999999999</v>
      </c>
      <c r="T10" s="12">
        <v>161498.28</v>
      </c>
      <c r="U10" s="12">
        <v>164407.84</v>
      </c>
      <c r="V10" s="12">
        <v>158267.25999999998</v>
      </c>
      <c r="W10" s="12">
        <v>162283.72</v>
      </c>
      <c r="X10" s="12">
        <v>174138.65999999997</v>
      </c>
      <c r="Y10" s="12">
        <v>157732.72999999998</v>
      </c>
      <c r="Z10" s="12">
        <v>163113.07</v>
      </c>
      <c r="AA10" s="12">
        <v>159049.34999999998</v>
      </c>
      <c r="AB10" s="12">
        <v>159936.79</v>
      </c>
      <c r="AC10" s="12">
        <v>182142.69999999998</v>
      </c>
      <c r="AD10" s="12">
        <v>189104.55999999997</v>
      </c>
      <c r="AE10" s="12">
        <v>185060.19999999995</v>
      </c>
      <c r="AF10" s="12">
        <v>181628.75000000003</v>
      </c>
      <c r="AG10" s="12">
        <v>187271.89</v>
      </c>
      <c r="AH10" s="12">
        <v>186589.21</v>
      </c>
      <c r="AI10" s="12">
        <v>223833.92</v>
      </c>
      <c r="AJ10" s="12">
        <v>194971.47999999998</v>
      </c>
      <c r="AK10" s="12">
        <v>183446.96999999997</v>
      </c>
      <c r="AL10" s="12">
        <v>203177.20000000004</v>
      </c>
      <c r="AM10" s="12">
        <v>213117.57</v>
      </c>
      <c r="AN10" s="12">
        <v>208798.33</v>
      </c>
      <c r="AO10" s="12">
        <v>217524.57</v>
      </c>
      <c r="AP10" s="12">
        <v>217351.84000000003</v>
      </c>
      <c r="AQ10" s="12">
        <v>214881.71000000002</v>
      </c>
      <c r="AR10" s="12">
        <v>196014.58000000002</v>
      </c>
      <c r="AS10" s="12">
        <v>236277.61000000002</v>
      </c>
      <c r="AT10" s="12">
        <v>222894.03999999995</v>
      </c>
      <c r="AU10" s="12">
        <v>223365.21000000005</v>
      </c>
      <c r="AV10" s="12">
        <v>224525.52</v>
      </c>
      <c r="AW10" s="12">
        <v>189558.42</v>
      </c>
      <c r="AX10" s="12">
        <v>226054.72000000003</v>
      </c>
      <c r="AY10" s="12">
        <v>218149.79000000004</v>
      </c>
      <c r="AZ10" s="12">
        <v>212781.92000000004</v>
      </c>
      <c r="BA10" s="12">
        <v>214573.72999999998</v>
      </c>
      <c r="BB10" s="12">
        <v>217696.47000000003</v>
      </c>
      <c r="BC10" s="12">
        <v>224858.59000000003</v>
      </c>
      <c r="BD10" s="12">
        <v>230141.47000000003</v>
      </c>
      <c r="BE10" s="12">
        <v>224225.86999999997</v>
      </c>
      <c r="BF10" s="12">
        <v>212104.43</v>
      </c>
      <c r="BG10" s="12">
        <v>190034.74000000002</v>
      </c>
      <c r="BH10" s="12">
        <v>187954.29</v>
      </c>
      <c r="BI10" s="12">
        <v>201800.36000000002</v>
      </c>
      <c r="BJ10" s="12">
        <v>209872.51</v>
      </c>
      <c r="BK10" s="12">
        <v>190791.21</v>
      </c>
      <c r="BL10" s="12">
        <v>200313.49</v>
      </c>
      <c r="BM10" s="12">
        <v>201563.51999999996</v>
      </c>
      <c r="BN10" s="12">
        <v>200414.78999999998</v>
      </c>
      <c r="BO10" s="12">
        <v>186296.48000000004</v>
      </c>
      <c r="BP10" s="12">
        <v>183117.63</v>
      </c>
      <c r="BQ10" s="12">
        <v>174731.18</v>
      </c>
      <c r="BR10" s="12">
        <v>184300.54999999996</v>
      </c>
      <c r="BS10" s="12">
        <v>178469.64999999997</v>
      </c>
      <c r="BT10" s="12">
        <v>187184.71</v>
      </c>
      <c r="BU10" s="12">
        <v>166406.25</v>
      </c>
      <c r="BV10" s="12">
        <v>193185.81</v>
      </c>
      <c r="BW10" s="12">
        <v>184539.52999999997</v>
      </c>
      <c r="BX10" s="12">
        <v>198746.73</v>
      </c>
      <c r="BY10" s="12">
        <v>181080.50999999998</v>
      </c>
      <c r="BZ10" s="12">
        <v>187536.67999999996</v>
      </c>
      <c r="CA10" s="20"/>
      <c r="CB10" s="12"/>
      <c r="CC10" s="12"/>
      <c r="CD10" s="12"/>
      <c r="CE10" s="12"/>
      <c r="CF10" s="12"/>
      <c r="CG10" s="12"/>
      <c r="CH10" s="12">
        <v>190000</v>
      </c>
      <c r="CI10" s="12">
        <v>191500</v>
      </c>
      <c r="CJ10" s="12">
        <v>193000</v>
      </c>
      <c r="CK10" s="12">
        <v>194500</v>
      </c>
      <c r="CL10" s="12">
        <v>196000</v>
      </c>
      <c r="CM10" s="12">
        <v>135495.51707317069</v>
      </c>
      <c r="CN10" s="12">
        <v>135495.51707317069</v>
      </c>
      <c r="CO10" s="12">
        <v>135495.51707317069</v>
      </c>
      <c r="CP10" s="12">
        <v>135495.51707317069</v>
      </c>
      <c r="CQ10" s="12">
        <v>135495.51707317069</v>
      </c>
      <c r="CR10" s="12">
        <v>135495.51707317069</v>
      </c>
      <c r="CS10" s="12">
        <v>135495.51707317069</v>
      </c>
    </row>
    <row r="11" spans="1:99" x14ac:dyDescent="0.3">
      <c r="A11" s="4" t="s">
        <v>4</v>
      </c>
      <c r="B11" s="12">
        <v>85012.209999999992</v>
      </c>
      <c r="C11" s="12">
        <v>85564.919999999984</v>
      </c>
      <c r="D11" s="12">
        <v>85077.579999999987</v>
      </c>
      <c r="E11" s="12">
        <v>83814.01999999999</v>
      </c>
      <c r="F11" s="12">
        <v>83465.27</v>
      </c>
      <c r="G11" s="12">
        <v>81429.31</v>
      </c>
      <c r="H11" s="12">
        <v>74841.699999999983</v>
      </c>
      <c r="I11" s="12">
        <v>76692.58</v>
      </c>
      <c r="J11" s="12">
        <v>75134.94</v>
      </c>
      <c r="K11" s="12">
        <v>74924.08</v>
      </c>
      <c r="L11" s="12">
        <v>71311.73000000001</v>
      </c>
      <c r="M11" s="12">
        <v>71404.539999999994</v>
      </c>
      <c r="N11" s="12">
        <v>62847.28</v>
      </c>
      <c r="O11" s="12">
        <v>66974.28</v>
      </c>
      <c r="P11" s="12">
        <v>66898.19</v>
      </c>
      <c r="Q11" s="12">
        <v>66928.81</v>
      </c>
      <c r="R11" s="12">
        <v>66928.829999999987</v>
      </c>
      <c r="S11" s="12">
        <v>175456.46</v>
      </c>
      <c r="T11" s="12">
        <v>84577.66</v>
      </c>
      <c r="U11" s="12">
        <v>82943.42</v>
      </c>
      <c r="V11" s="12">
        <v>119512.03</v>
      </c>
      <c r="W11" s="12">
        <v>84965.220000000016</v>
      </c>
      <c r="X11" s="12">
        <v>83241.049999999988</v>
      </c>
      <c r="Y11" s="12">
        <v>72917.079999999987</v>
      </c>
      <c r="Z11" s="12">
        <v>80570.12</v>
      </c>
      <c r="AA11" s="12">
        <v>80228.58</v>
      </c>
      <c r="AB11" s="12">
        <v>79758.23</v>
      </c>
      <c r="AC11" s="12">
        <v>79835.350000000006</v>
      </c>
      <c r="AD11" s="12">
        <v>79474.02</v>
      </c>
      <c r="AE11" s="12">
        <v>79438.64</v>
      </c>
      <c r="AF11" s="12">
        <v>79346.460000000006</v>
      </c>
      <c r="AG11" s="12">
        <v>79312.180000000008</v>
      </c>
      <c r="AH11" s="12">
        <v>79312.350000000006</v>
      </c>
      <c r="AI11" s="12">
        <v>82326.73000000001</v>
      </c>
      <c r="AJ11" s="12">
        <v>81514.079999999987</v>
      </c>
      <c r="AK11" s="12">
        <v>100322.91</v>
      </c>
      <c r="AL11" s="12">
        <v>103207.61</v>
      </c>
      <c r="AM11" s="12">
        <v>103305</v>
      </c>
      <c r="AN11" s="12">
        <v>103163.97</v>
      </c>
      <c r="AO11" s="12">
        <v>103094.54000000001</v>
      </c>
      <c r="AP11" s="12">
        <v>103079.99</v>
      </c>
      <c r="AQ11" s="12">
        <v>103088.22</v>
      </c>
      <c r="AR11" s="12">
        <v>106365.95000000001</v>
      </c>
      <c r="AS11" s="12">
        <v>119282.47</v>
      </c>
      <c r="AT11" s="12">
        <v>118921.65000000001</v>
      </c>
      <c r="AU11" s="12">
        <v>116553.78999999998</v>
      </c>
      <c r="AV11" s="12">
        <v>116078.28999999998</v>
      </c>
      <c r="AW11" s="12">
        <v>120696.31999999999</v>
      </c>
      <c r="AX11" s="12">
        <v>117191.43</v>
      </c>
      <c r="AY11" s="12">
        <v>118743.68000000001</v>
      </c>
      <c r="AZ11" s="12">
        <v>116465.15999999997</v>
      </c>
      <c r="BA11" s="12">
        <v>115413.02</v>
      </c>
      <c r="BB11" s="12">
        <v>115413.06</v>
      </c>
      <c r="BC11" s="12">
        <v>115413.03</v>
      </c>
      <c r="BD11" s="12">
        <v>120248.22999999998</v>
      </c>
      <c r="BE11" s="12">
        <v>118360.73000000001</v>
      </c>
      <c r="BF11" s="12">
        <v>116923.76000000001</v>
      </c>
      <c r="BG11" s="12">
        <v>116979.5</v>
      </c>
      <c r="BH11" s="12">
        <v>116625.38</v>
      </c>
      <c r="BI11" s="12">
        <v>127079.01000000001</v>
      </c>
      <c r="BJ11" s="12">
        <v>114698.79000000001</v>
      </c>
      <c r="BK11" s="12">
        <v>115657.54000000001</v>
      </c>
      <c r="BL11" s="12">
        <v>115687.78</v>
      </c>
      <c r="BM11" s="12">
        <v>115571.07</v>
      </c>
      <c r="BN11" s="12">
        <v>115571.14000000001</v>
      </c>
      <c r="BO11" s="12">
        <v>116142.21000000002</v>
      </c>
      <c r="BP11" s="12">
        <v>111132.45999999999</v>
      </c>
      <c r="BQ11" s="12">
        <v>111490.43999999999</v>
      </c>
      <c r="BR11" s="12">
        <v>114012.94</v>
      </c>
      <c r="BS11" s="12">
        <v>115472.45000000003</v>
      </c>
      <c r="BT11" s="12">
        <v>115442.38999999998</v>
      </c>
      <c r="BU11" s="12">
        <v>100595.66</v>
      </c>
      <c r="BV11" s="12">
        <v>115932.12999999999</v>
      </c>
      <c r="BW11" s="12">
        <v>113661.70000000001</v>
      </c>
      <c r="BX11" s="12">
        <v>115056.33</v>
      </c>
      <c r="BY11" s="12">
        <v>115234.87000000001</v>
      </c>
      <c r="BZ11" s="12">
        <v>116321.18999999999</v>
      </c>
      <c r="CA11" s="20"/>
      <c r="CB11" s="12"/>
      <c r="CC11" s="12"/>
      <c r="CD11" s="12"/>
      <c r="CE11" s="12"/>
      <c r="CF11" s="12"/>
      <c r="CG11" s="12"/>
      <c r="CH11" s="12">
        <v>112812.75</v>
      </c>
      <c r="CI11" s="12">
        <v>112812.75</v>
      </c>
      <c r="CJ11" s="12">
        <v>112812.75</v>
      </c>
      <c r="CK11" s="12">
        <v>112812.75</v>
      </c>
      <c r="CL11" s="12">
        <v>112812.75</v>
      </c>
      <c r="CM11" s="12">
        <v>102643.73917073171</v>
      </c>
      <c r="CN11" s="12">
        <v>102643.73917073171</v>
      </c>
      <c r="CO11" s="12">
        <v>102643.73917073171</v>
      </c>
      <c r="CP11" s="12">
        <v>102643.73917073171</v>
      </c>
      <c r="CQ11" s="12">
        <v>102643.73917073171</v>
      </c>
      <c r="CR11" s="12">
        <v>102643.73917073171</v>
      </c>
      <c r="CS11" s="12">
        <v>102643.73917073171</v>
      </c>
    </row>
    <row r="12" spans="1:99" x14ac:dyDescent="0.3">
      <c r="A12" s="4"/>
      <c r="CA12" s="20"/>
      <c r="CH12" s="12"/>
      <c r="CI12" s="12"/>
      <c r="CJ12" s="12"/>
      <c r="CK12" s="12"/>
      <c r="CL12" s="12"/>
      <c r="CM12" s="12"/>
      <c r="CN12" s="12"/>
      <c r="CO12" s="12"/>
      <c r="CP12" s="12"/>
      <c r="CQ12" s="12"/>
      <c r="CR12" s="12"/>
      <c r="CS12" s="12"/>
    </row>
    <row r="13" spans="1:99" x14ac:dyDescent="0.3">
      <c r="A13" s="4" t="s">
        <v>5</v>
      </c>
      <c r="B13" s="12">
        <v>20286.14</v>
      </c>
      <c r="C13" s="12">
        <v>18607.98</v>
      </c>
      <c r="D13" s="12">
        <v>29469.05</v>
      </c>
      <c r="E13" s="12">
        <v>34739.93</v>
      </c>
      <c r="F13" s="12">
        <v>41939.910000000003</v>
      </c>
      <c r="G13" s="12">
        <v>44626.87</v>
      </c>
      <c r="H13" s="12">
        <v>50867.65</v>
      </c>
      <c r="I13" s="12">
        <v>46498.36</v>
      </c>
      <c r="J13" s="12">
        <v>49360.03</v>
      </c>
      <c r="K13" s="12">
        <v>45643.55</v>
      </c>
      <c r="L13" s="12">
        <v>35727.33</v>
      </c>
      <c r="M13" s="12">
        <v>31420.76</v>
      </c>
      <c r="N13" s="12">
        <v>27297.38</v>
      </c>
      <c r="O13" s="12">
        <v>26628.03</v>
      </c>
      <c r="P13" s="12">
        <v>31465.07</v>
      </c>
      <c r="Q13" s="12">
        <v>34949.129999999997</v>
      </c>
      <c r="R13" s="12">
        <v>40403.269999999997</v>
      </c>
      <c r="S13" s="12">
        <v>47452.56</v>
      </c>
      <c r="T13" s="12">
        <v>49433.279999999999</v>
      </c>
      <c r="U13" s="12">
        <v>48779.39</v>
      </c>
      <c r="V13" s="12">
        <v>45830.17</v>
      </c>
      <c r="W13" s="12">
        <v>44705.81</v>
      </c>
      <c r="X13" s="12">
        <v>57313.16</v>
      </c>
      <c r="Y13" s="12">
        <v>-6542.76</v>
      </c>
      <c r="Z13" s="12">
        <v>26341</v>
      </c>
      <c r="AA13" s="12">
        <v>26187.200000000001</v>
      </c>
      <c r="AB13" s="12">
        <v>32290.560000000001</v>
      </c>
      <c r="AC13" s="12">
        <v>36053.93</v>
      </c>
      <c r="AD13" s="12">
        <v>36917.71</v>
      </c>
      <c r="AE13" s="12">
        <v>40450.949999999997</v>
      </c>
      <c r="AF13" s="12">
        <v>41239.519999999997</v>
      </c>
      <c r="AG13" s="12">
        <v>68125.09</v>
      </c>
      <c r="AH13" s="12">
        <v>68836.44</v>
      </c>
      <c r="AI13" s="12">
        <v>65781.02</v>
      </c>
      <c r="AJ13" s="12">
        <v>57806.7</v>
      </c>
      <c r="AK13" s="12">
        <v>52402.18</v>
      </c>
      <c r="AL13" s="12">
        <v>50759.53</v>
      </c>
      <c r="AM13" s="12">
        <v>48589.73</v>
      </c>
      <c r="AN13" s="12">
        <v>60492.09</v>
      </c>
      <c r="AO13" s="12">
        <v>63689.61</v>
      </c>
      <c r="AP13" s="12">
        <v>63405.27</v>
      </c>
      <c r="AQ13" s="12">
        <v>68167.820000000007</v>
      </c>
      <c r="AR13" s="12">
        <v>81684</v>
      </c>
      <c r="AS13" s="12">
        <v>82105.350000000006</v>
      </c>
      <c r="AT13" s="12">
        <v>80338.38</v>
      </c>
      <c r="AU13" s="12">
        <v>78991.009999999995</v>
      </c>
      <c r="AV13" s="12">
        <v>74757.460000000006</v>
      </c>
      <c r="AW13" s="12">
        <v>62130.53</v>
      </c>
      <c r="AX13" s="12">
        <v>59159.58</v>
      </c>
      <c r="AY13" s="12">
        <v>58235.79</v>
      </c>
      <c r="AZ13" s="12">
        <v>65721.78</v>
      </c>
      <c r="BA13" s="12">
        <v>62430.2</v>
      </c>
      <c r="BB13" s="12">
        <v>74655.740000000005</v>
      </c>
      <c r="BC13" s="12">
        <v>77638.460000000006</v>
      </c>
      <c r="BD13" s="12">
        <v>84663.25</v>
      </c>
      <c r="BE13" s="12">
        <v>88409.02</v>
      </c>
      <c r="BF13" s="12">
        <v>87274.93</v>
      </c>
      <c r="BG13" s="12">
        <v>84786.9</v>
      </c>
      <c r="BH13" s="12">
        <v>75605.649999999994</v>
      </c>
      <c r="BI13" s="12">
        <v>45497.04</v>
      </c>
      <c r="BJ13" s="12">
        <v>69138.37</v>
      </c>
      <c r="BK13" s="12">
        <v>51921.85</v>
      </c>
      <c r="BL13" s="12">
        <v>53904.07</v>
      </c>
      <c r="BM13" s="12">
        <v>51885.59</v>
      </c>
      <c r="BN13" s="12">
        <v>66136.600000000006</v>
      </c>
      <c r="BO13" s="12">
        <v>66573.5</v>
      </c>
      <c r="BP13" s="12">
        <v>72620.679999999993</v>
      </c>
      <c r="BQ13" s="12">
        <v>76641.570000000007</v>
      </c>
      <c r="BR13" s="12">
        <v>71212.600000000006</v>
      </c>
      <c r="BS13" s="12">
        <v>70106.48</v>
      </c>
      <c r="BT13" s="12">
        <v>60805.51</v>
      </c>
      <c r="BU13" s="12">
        <v>50596.82</v>
      </c>
      <c r="BV13" s="12">
        <v>53534.44</v>
      </c>
      <c r="BW13" s="12">
        <v>52363.98</v>
      </c>
      <c r="BX13" s="12">
        <v>59560.69</v>
      </c>
      <c r="BY13" s="12">
        <v>66004.399999999994</v>
      </c>
      <c r="BZ13" s="12">
        <v>79673.16</v>
      </c>
      <c r="CA13" s="20"/>
      <c r="CB13" s="12"/>
      <c r="CC13" s="12"/>
      <c r="CD13" s="12"/>
      <c r="CE13" s="12"/>
      <c r="CF13" s="12"/>
      <c r="CG13" s="12"/>
      <c r="CH13" s="12">
        <v>74250</v>
      </c>
      <c r="CI13" s="12">
        <v>77460</v>
      </c>
      <c r="CJ13" s="12">
        <v>77100</v>
      </c>
      <c r="CK13" s="12">
        <v>76872</v>
      </c>
      <c r="CL13" s="12">
        <v>75138</v>
      </c>
      <c r="CM13" s="12">
        <v>62617</v>
      </c>
      <c r="CN13" s="12">
        <v>62617</v>
      </c>
      <c r="CO13" s="12">
        <v>62617</v>
      </c>
      <c r="CP13" s="12">
        <v>62617</v>
      </c>
      <c r="CQ13" s="12">
        <v>62617</v>
      </c>
      <c r="CR13" s="12">
        <v>62617</v>
      </c>
      <c r="CS13" s="12">
        <v>62617</v>
      </c>
    </row>
    <row r="14" spans="1:99" x14ac:dyDescent="0.3">
      <c r="A14" s="4" t="s">
        <v>6</v>
      </c>
      <c r="B14" s="12">
        <v>159364.44</v>
      </c>
      <c r="C14" s="12">
        <v>188566.68999999997</v>
      </c>
      <c r="D14" s="12">
        <v>212315.61000000002</v>
      </c>
      <c r="E14" s="12">
        <v>203408.73</v>
      </c>
      <c r="F14" s="12">
        <v>183708.32</v>
      </c>
      <c r="G14" s="12">
        <v>169996.31</v>
      </c>
      <c r="H14" s="12">
        <v>138102.69</v>
      </c>
      <c r="I14" s="12">
        <v>176529.59000000003</v>
      </c>
      <c r="J14" s="12">
        <v>173995.78</v>
      </c>
      <c r="K14" s="12">
        <v>189504.08000000002</v>
      </c>
      <c r="L14" s="12">
        <v>201351.06</v>
      </c>
      <c r="M14" s="12">
        <v>334964.24</v>
      </c>
      <c r="N14" s="12">
        <v>137555.54999999999</v>
      </c>
      <c r="O14" s="12">
        <v>118225.41999999998</v>
      </c>
      <c r="P14" s="12">
        <v>131435.38999999998</v>
      </c>
      <c r="Q14" s="12">
        <v>120335.78</v>
      </c>
      <c r="R14" s="12">
        <v>114855.57</v>
      </c>
      <c r="S14" s="12">
        <v>-18662.950000000004</v>
      </c>
      <c r="T14" s="12">
        <v>95936.960000000006</v>
      </c>
      <c r="U14" s="12">
        <v>82189.100000000006</v>
      </c>
      <c r="V14" s="12">
        <v>59308.34</v>
      </c>
      <c r="W14" s="12">
        <v>110157.15000000001</v>
      </c>
      <c r="X14" s="12">
        <v>116143.23999999999</v>
      </c>
      <c r="Y14" s="12">
        <v>132472.38</v>
      </c>
      <c r="Z14" s="12">
        <v>107593.38</v>
      </c>
      <c r="AA14" s="12">
        <v>108004.62999999999</v>
      </c>
      <c r="AB14" s="12">
        <v>129575.11000000002</v>
      </c>
      <c r="AC14" s="12">
        <v>126965.47</v>
      </c>
      <c r="AD14" s="12">
        <v>135271.32999999999</v>
      </c>
      <c r="AE14" s="12">
        <v>138494.25</v>
      </c>
      <c r="AF14" s="12">
        <v>128648.19</v>
      </c>
      <c r="AG14" s="12">
        <v>132773.1</v>
      </c>
      <c r="AH14" s="12">
        <v>146900.28</v>
      </c>
      <c r="AI14" s="12">
        <v>125839.71</v>
      </c>
      <c r="AJ14" s="12">
        <v>162376.13</v>
      </c>
      <c r="AK14" s="12">
        <v>137457.99000000002</v>
      </c>
      <c r="AL14" s="12">
        <v>110398.38000000002</v>
      </c>
      <c r="AM14" s="12">
        <v>108544.61000000002</v>
      </c>
      <c r="AN14" s="12">
        <v>117153.27000000002</v>
      </c>
      <c r="AO14" s="12">
        <v>127330.04</v>
      </c>
      <c r="AP14" s="12">
        <v>141710.37000000002</v>
      </c>
      <c r="AQ14" s="12">
        <v>149180.70000000004</v>
      </c>
      <c r="AR14" s="12">
        <v>132354.46999999997</v>
      </c>
      <c r="AS14" s="12">
        <v>153738.31999999998</v>
      </c>
      <c r="AT14" s="12">
        <v>155001.79</v>
      </c>
      <c r="AU14" s="12">
        <v>124767.42000000001</v>
      </c>
      <c r="AV14" s="12">
        <v>120148.77999999998</v>
      </c>
      <c r="AW14" s="12">
        <v>151733.93000000005</v>
      </c>
      <c r="AX14" s="12">
        <v>119913.44</v>
      </c>
      <c r="AY14" s="12">
        <v>146858.47999999995</v>
      </c>
      <c r="AZ14" s="12">
        <v>127589.48</v>
      </c>
      <c r="BA14" s="12">
        <v>123751.13000000003</v>
      </c>
      <c r="BB14" s="12">
        <v>138017.94000000003</v>
      </c>
      <c r="BC14" s="12">
        <v>137978.69999999998</v>
      </c>
      <c r="BD14" s="12">
        <v>123916.45999999998</v>
      </c>
      <c r="BE14" s="12">
        <v>118555.03999999998</v>
      </c>
      <c r="BF14" s="12">
        <v>89226.46</v>
      </c>
      <c r="BG14" s="12">
        <v>117101.5</v>
      </c>
      <c r="BH14" s="12">
        <v>115675.06999999999</v>
      </c>
      <c r="BI14" s="12">
        <v>45873.760000000009</v>
      </c>
      <c r="BJ14" s="12">
        <v>90120.87999999999</v>
      </c>
      <c r="BK14" s="12">
        <v>92505.37999999999</v>
      </c>
      <c r="BL14" s="12">
        <v>95984.33</v>
      </c>
      <c r="BM14" s="12">
        <v>86310.399999999994</v>
      </c>
      <c r="BN14" s="12">
        <v>83340.76999999999</v>
      </c>
      <c r="BO14" s="12">
        <v>96912.659999999989</v>
      </c>
      <c r="BP14" s="12">
        <v>88152.810000000012</v>
      </c>
      <c r="BQ14" s="12">
        <v>96200.040000000008</v>
      </c>
      <c r="BR14" s="12">
        <v>89536.070000000022</v>
      </c>
      <c r="BS14" s="12">
        <v>89253.63</v>
      </c>
      <c r="BT14" s="12">
        <v>98179.290000000023</v>
      </c>
      <c r="BU14" s="12">
        <v>155075.66999999998</v>
      </c>
      <c r="BV14" s="12">
        <v>107663.77</v>
      </c>
      <c r="BW14" s="12">
        <v>99258.069999999992</v>
      </c>
      <c r="BX14" s="12">
        <v>99558.77</v>
      </c>
      <c r="BY14" s="12">
        <v>106320.33</v>
      </c>
      <c r="BZ14" s="12">
        <v>69712.639999999999</v>
      </c>
      <c r="CA14" s="20"/>
      <c r="CB14" s="12"/>
      <c r="CC14" s="12"/>
      <c r="CD14" s="12"/>
      <c r="CE14" s="12"/>
      <c r="CF14" s="12"/>
      <c r="CG14" s="12"/>
      <c r="CH14" s="12">
        <v>107624.03</v>
      </c>
      <c r="CI14" s="12">
        <v>114124.03</v>
      </c>
      <c r="CJ14" s="12">
        <v>114124.03</v>
      </c>
      <c r="CK14" s="12">
        <v>114124.03</v>
      </c>
      <c r="CL14" s="12">
        <v>120624.03</v>
      </c>
      <c r="CM14" s="12">
        <v>104363.962</v>
      </c>
      <c r="CN14" s="12">
        <v>104363.962</v>
      </c>
      <c r="CO14" s="12">
        <v>104363.962</v>
      </c>
      <c r="CP14" s="12">
        <v>104363.962</v>
      </c>
      <c r="CQ14" s="12">
        <v>104363.962</v>
      </c>
      <c r="CR14" s="12">
        <v>104363.962</v>
      </c>
      <c r="CS14" s="12">
        <v>104363.962</v>
      </c>
    </row>
    <row r="15" spans="1:99" x14ac:dyDescent="0.3">
      <c r="A15" s="6" t="s">
        <v>7</v>
      </c>
      <c r="B15" s="9">
        <f>SUM(B10:B14)</f>
        <v>428190.18</v>
      </c>
      <c r="C15" s="9">
        <f t="shared" ref="C15:BN15" si="6">SUM(C10:C14)</f>
        <v>460945.37</v>
      </c>
      <c r="D15" s="9">
        <f t="shared" si="6"/>
        <v>491506.20999999996</v>
      </c>
      <c r="E15" s="9">
        <f t="shared" si="6"/>
        <v>480284.36</v>
      </c>
      <c r="F15" s="9">
        <f t="shared" si="6"/>
        <v>478060.53000000009</v>
      </c>
      <c r="G15" s="9">
        <f t="shared" si="6"/>
        <v>476793.48</v>
      </c>
      <c r="H15" s="9">
        <f t="shared" si="6"/>
        <v>444690.56</v>
      </c>
      <c r="I15" s="9">
        <f t="shared" si="6"/>
        <v>450663.78</v>
      </c>
      <c r="J15" s="9">
        <f t="shared" si="6"/>
        <v>461579.55000000005</v>
      </c>
      <c r="K15" s="9">
        <f t="shared" si="6"/>
        <v>471924.59</v>
      </c>
      <c r="L15" s="9">
        <f t="shared" si="6"/>
        <v>472367.72</v>
      </c>
      <c r="M15" s="9">
        <f t="shared" si="6"/>
        <v>630111.52</v>
      </c>
      <c r="N15" s="9">
        <f t="shared" si="6"/>
        <v>387550.97</v>
      </c>
      <c r="O15" s="9">
        <f t="shared" si="6"/>
        <v>372180.16</v>
      </c>
      <c r="P15" s="9">
        <f t="shared" si="6"/>
        <v>393814.89</v>
      </c>
      <c r="Q15" s="9">
        <f t="shared" si="6"/>
        <v>372093.82999999996</v>
      </c>
      <c r="R15" s="9">
        <f t="shared" si="6"/>
        <v>376094.23</v>
      </c>
      <c r="S15" s="9">
        <f t="shared" si="6"/>
        <v>355535.33999999997</v>
      </c>
      <c r="T15" s="9">
        <f t="shared" si="6"/>
        <v>391446.18</v>
      </c>
      <c r="U15" s="9">
        <f t="shared" si="6"/>
        <v>378319.75</v>
      </c>
      <c r="V15" s="9">
        <f t="shared" si="6"/>
        <v>382917.79999999993</v>
      </c>
      <c r="W15" s="9">
        <f t="shared" si="6"/>
        <v>402111.9</v>
      </c>
      <c r="X15" s="9">
        <f t="shared" si="6"/>
        <v>430836.11</v>
      </c>
      <c r="Y15" s="9">
        <f t="shared" si="6"/>
        <v>356579.42999999993</v>
      </c>
      <c r="Z15" s="9">
        <f t="shared" si="6"/>
        <v>377617.57</v>
      </c>
      <c r="AA15" s="9">
        <f t="shared" si="6"/>
        <v>373469.76</v>
      </c>
      <c r="AB15" s="9">
        <f t="shared" si="6"/>
        <v>401560.69000000006</v>
      </c>
      <c r="AC15" s="9">
        <f t="shared" si="6"/>
        <v>424997.44999999995</v>
      </c>
      <c r="AD15" s="9">
        <f t="shared" si="6"/>
        <v>440767.62</v>
      </c>
      <c r="AE15" s="9">
        <f t="shared" si="6"/>
        <v>443444.04</v>
      </c>
      <c r="AF15" s="9">
        <f t="shared" si="6"/>
        <v>430862.92000000004</v>
      </c>
      <c r="AG15" s="9">
        <f t="shared" si="6"/>
        <v>467482.26</v>
      </c>
      <c r="AH15" s="9">
        <f t="shared" si="6"/>
        <v>481638.28</v>
      </c>
      <c r="AI15" s="9">
        <f t="shared" si="6"/>
        <v>497781.38000000006</v>
      </c>
      <c r="AJ15" s="9">
        <f t="shared" si="6"/>
        <v>496668.38999999996</v>
      </c>
      <c r="AK15" s="9">
        <f t="shared" si="6"/>
        <v>473630.05000000005</v>
      </c>
      <c r="AL15" s="9">
        <f t="shared" si="6"/>
        <v>467542.72000000009</v>
      </c>
      <c r="AM15" s="9">
        <f t="shared" si="6"/>
        <v>473556.91000000003</v>
      </c>
      <c r="AN15" s="9">
        <f t="shared" si="6"/>
        <v>489607.66000000003</v>
      </c>
      <c r="AO15" s="9">
        <f t="shared" si="6"/>
        <v>511638.75999999995</v>
      </c>
      <c r="AP15" s="9">
        <f t="shared" si="6"/>
        <v>525547.47000000009</v>
      </c>
      <c r="AQ15" s="9">
        <f t="shared" si="6"/>
        <v>535318.45000000007</v>
      </c>
      <c r="AR15" s="9">
        <f t="shared" si="6"/>
        <v>516419</v>
      </c>
      <c r="AS15" s="9">
        <f t="shared" si="6"/>
        <v>591403.75</v>
      </c>
      <c r="AT15" s="9">
        <f t="shared" si="6"/>
        <v>577155.86</v>
      </c>
      <c r="AU15" s="9">
        <f t="shared" si="6"/>
        <v>543677.43000000005</v>
      </c>
      <c r="AV15" s="9">
        <f t="shared" si="6"/>
        <v>535510.04999999993</v>
      </c>
      <c r="AW15" s="9">
        <f t="shared" si="6"/>
        <v>524119.20000000007</v>
      </c>
      <c r="AX15" s="9">
        <f t="shared" si="6"/>
        <v>522319.17000000004</v>
      </c>
      <c r="AY15" s="9">
        <f t="shared" si="6"/>
        <v>541987.74</v>
      </c>
      <c r="AZ15" s="9">
        <f t="shared" si="6"/>
        <v>522558.33999999997</v>
      </c>
      <c r="BA15" s="9">
        <f t="shared" si="6"/>
        <v>516168.08000000007</v>
      </c>
      <c r="BB15" s="9">
        <f t="shared" si="6"/>
        <v>545783.21000000008</v>
      </c>
      <c r="BC15" s="9">
        <f t="shared" si="6"/>
        <v>555888.78</v>
      </c>
      <c r="BD15" s="9">
        <f t="shared" si="6"/>
        <v>558969.41</v>
      </c>
      <c r="BE15" s="9">
        <f t="shared" si="6"/>
        <v>549550.65999999992</v>
      </c>
      <c r="BF15" s="9">
        <f t="shared" si="6"/>
        <v>505529.58</v>
      </c>
      <c r="BG15" s="9">
        <f t="shared" si="6"/>
        <v>508902.64</v>
      </c>
      <c r="BH15" s="9">
        <f t="shared" si="6"/>
        <v>495860.39000000007</v>
      </c>
      <c r="BI15" s="9">
        <f t="shared" si="6"/>
        <v>420250.17</v>
      </c>
      <c r="BJ15" s="9">
        <f t="shared" si="6"/>
        <v>483830.55000000005</v>
      </c>
      <c r="BK15" s="9">
        <f t="shared" si="6"/>
        <v>450875.98</v>
      </c>
      <c r="BL15" s="9">
        <f t="shared" si="6"/>
        <v>465889.67000000004</v>
      </c>
      <c r="BM15" s="9">
        <f t="shared" si="6"/>
        <v>455330.57999999996</v>
      </c>
      <c r="BN15" s="9">
        <f t="shared" si="6"/>
        <v>465463.30000000005</v>
      </c>
      <c r="BO15" s="9">
        <f t="shared" ref="BO15:CS15" si="7">SUM(BO10:BO14)</f>
        <v>465924.85000000003</v>
      </c>
      <c r="BP15" s="9">
        <f t="shared" si="7"/>
        <v>455023.57999999996</v>
      </c>
      <c r="BQ15" s="9">
        <f t="shared" si="7"/>
        <v>459063.23</v>
      </c>
      <c r="BR15" s="9">
        <f t="shared" si="7"/>
        <v>459062.16</v>
      </c>
      <c r="BS15" s="9">
        <f t="shared" si="7"/>
        <v>453302.20999999996</v>
      </c>
      <c r="BT15" s="9">
        <f t="shared" si="7"/>
        <v>461611.9</v>
      </c>
      <c r="BU15" s="9">
        <f t="shared" si="7"/>
        <v>472674.4</v>
      </c>
      <c r="BV15" s="9">
        <f t="shared" si="7"/>
        <v>470316.15</v>
      </c>
      <c r="BW15" s="9">
        <f t="shared" si="7"/>
        <v>449823.27999999997</v>
      </c>
      <c r="BX15" s="9">
        <f t="shared" si="7"/>
        <v>472922.52</v>
      </c>
      <c r="BY15" s="9">
        <f t="shared" si="7"/>
        <v>468640.11000000004</v>
      </c>
      <c r="BZ15" s="9">
        <f t="shared" ref="BZ15" si="8">SUM(BZ10:BZ14)</f>
        <v>453243.66999999993</v>
      </c>
      <c r="CA15" s="20"/>
      <c r="CB15" s="9"/>
      <c r="CC15" s="9"/>
      <c r="CD15" s="9"/>
      <c r="CE15" s="9"/>
      <c r="CF15" s="9"/>
      <c r="CG15" s="9"/>
      <c r="CH15" s="9">
        <f>SUM(CH10:CH14)</f>
        <v>484686.78</v>
      </c>
      <c r="CI15" s="9">
        <f t="shared" si="7"/>
        <v>495896.78</v>
      </c>
      <c r="CJ15" s="9">
        <f t="shared" si="7"/>
        <v>497036.78</v>
      </c>
      <c r="CK15" s="9">
        <f t="shared" si="7"/>
        <v>498308.78</v>
      </c>
      <c r="CL15" s="9">
        <f t="shared" si="7"/>
        <v>504574.78</v>
      </c>
      <c r="CM15" s="9">
        <f t="shared" si="7"/>
        <v>405120.21824390237</v>
      </c>
      <c r="CN15" s="9">
        <f t="shared" si="7"/>
        <v>405120.21824390237</v>
      </c>
      <c r="CO15" s="9">
        <f t="shared" si="7"/>
        <v>405120.21824390237</v>
      </c>
      <c r="CP15" s="9">
        <f t="shared" si="7"/>
        <v>405120.21824390237</v>
      </c>
      <c r="CQ15" s="9">
        <f t="shared" si="7"/>
        <v>405120.21824390237</v>
      </c>
      <c r="CR15" s="9">
        <f t="shared" si="7"/>
        <v>405120.21824390237</v>
      </c>
      <c r="CS15" s="9">
        <f t="shared" si="7"/>
        <v>405120.21824390237</v>
      </c>
    </row>
    <row r="16" spans="1:99" x14ac:dyDescent="0.3">
      <c r="A16" s="4" t="s">
        <v>8</v>
      </c>
      <c r="B16" s="12">
        <v>-24290.489999999932</v>
      </c>
      <c r="C16" s="12">
        <v>-59670.789999999979</v>
      </c>
      <c r="D16" s="12">
        <v>111770.79000000004</v>
      </c>
      <c r="E16" s="12">
        <v>24839.640000000072</v>
      </c>
      <c r="F16" s="12">
        <v>10684.759999999951</v>
      </c>
      <c r="G16" s="12">
        <v>-14078.669999999925</v>
      </c>
      <c r="H16" s="12">
        <v>-43495.409999999974</v>
      </c>
      <c r="I16" s="12">
        <v>-35397</v>
      </c>
      <c r="J16" s="12">
        <v>-84272.95000000007</v>
      </c>
      <c r="K16" s="12">
        <v>-92929.81</v>
      </c>
      <c r="L16" s="12">
        <v>-68283.77999999997</v>
      </c>
      <c r="M16" s="12">
        <v>-96748.410000000033</v>
      </c>
      <c r="N16" s="12">
        <v>12803.22000000003</v>
      </c>
      <c r="O16" s="12">
        <v>61422.640000000014</v>
      </c>
      <c r="P16" s="12">
        <v>27029.25</v>
      </c>
      <c r="Q16" s="12">
        <v>-50483.409999999974</v>
      </c>
      <c r="R16" s="12">
        <v>-69155.87</v>
      </c>
      <c r="S16" s="12">
        <v>-78486.539999999921</v>
      </c>
      <c r="T16" s="12">
        <v>-31419.320000000007</v>
      </c>
      <c r="U16" s="12">
        <v>24295.870000000054</v>
      </c>
      <c r="V16" s="12">
        <v>93251.780000000086</v>
      </c>
      <c r="W16" s="12">
        <v>-17750.090000000026</v>
      </c>
      <c r="X16" s="12">
        <v>-78991.62</v>
      </c>
      <c r="Y16" s="12">
        <v>-91774.069999999949</v>
      </c>
      <c r="Z16" s="12">
        <v>49333.919999999984</v>
      </c>
      <c r="AA16" s="12">
        <v>21948.02999999997</v>
      </c>
      <c r="AB16" s="12">
        <v>4970.0499999999884</v>
      </c>
      <c r="AC16" s="12">
        <v>65954.290000000037</v>
      </c>
      <c r="AD16" s="12">
        <v>12381.350000000035</v>
      </c>
      <c r="AE16" s="12">
        <v>28248.690000000061</v>
      </c>
      <c r="AF16" s="12">
        <v>60125.219999999972</v>
      </c>
      <c r="AG16" s="12">
        <v>86385.429999999935</v>
      </c>
      <c r="AH16" s="12">
        <v>85670.87</v>
      </c>
      <c r="AI16" s="12">
        <v>92035.57</v>
      </c>
      <c r="AJ16" s="12">
        <v>16748.100000000093</v>
      </c>
      <c r="AK16" s="12">
        <v>-39822.210000000079</v>
      </c>
      <c r="AL16" s="12">
        <v>24426.159999999916</v>
      </c>
      <c r="AM16" s="12">
        <v>1474.109999999986</v>
      </c>
      <c r="AN16" s="12">
        <v>58740.150000000023</v>
      </c>
      <c r="AO16" s="12">
        <v>59059.500000000058</v>
      </c>
      <c r="AP16" s="12">
        <v>-92208.030000000144</v>
      </c>
      <c r="AQ16" s="12">
        <v>-48154.610000000102</v>
      </c>
      <c r="AR16" s="12">
        <v>-33994.020000000019</v>
      </c>
      <c r="AS16" s="12">
        <v>-11954.040000000037</v>
      </c>
      <c r="AT16" s="12">
        <v>-11961.429999999935</v>
      </c>
      <c r="AU16" s="12">
        <v>-12312.190000000061</v>
      </c>
      <c r="AV16" s="12">
        <v>32623.20000000007</v>
      </c>
      <c r="AW16" s="12">
        <v>-73832.190000000119</v>
      </c>
      <c r="AX16" s="12">
        <v>55640.460000000079</v>
      </c>
      <c r="AY16" s="12">
        <v>-7976.2199999999721</v>
      </c>
      <c r="AZ16" s="12">
        <v>-16276.109999999928</v>
      </c>
      <c r="BA16" s="12">
        <v>-76473.190000000061</v>
      </c>
      <c r="BB16" s="12">
        <v>-15613.560000000056</v>
      </c>
      <c r="BC16" s="12">
        <v>32064.359999999986</v>
      </c>
      <c r="BD16" s="12">
        <v>-5927.2600000000093</v>
      </c>
      <c r="BE16" s="12">
        <v>-7052.3599999998696</v>
      </c>
      <c r="BF16" s="12">
        <v>-3879.6000000000349</v>
      </c>
      <c r="BG16" s="12">
        <v>-9619.9700000000303</v>
      </c>
      <c r="BH16" s="12">
        <v>2659.8299999998999</v>
      </c>
      <c r="BI16" s="12">
        <v>-12771.799999999988</v>
      </c>
      <c r="BJ16" s="12">
        <v>64695.030000000028</v>
      </c>
      <c r="BK16" s="12">
        <v>6495.8400000000256</v>
      </c>
      <c r="BL16" s="12">
        <v>10016.869999999937</v>
      </c>
      <c r="BM16" s="12">
        <v>14041.670000000042</v>
      </c>
      <c r="BN16" s="12">
        <v>20604.01999999996</v>
      </c>
      <c r="BO16" s="12">
        <v>-200.82000000006519</v>
      </c>
      <c r="BP16" s="12">
        <v>5150.7300000000978</v>
      </c>
      <c r="BQ16" s="12">
        <v>-2584.1999999999534</v>
      </c>
      <c r="BR16" s="12">
        <v>-10710.700000000012</v>
      </c>
      <c r="BS16" s="12">
        <v>1814.8700000000536</v>
      </c>
      <c r="BT16" s="12">
        <v>-17739.72000000003</v>
      </c>
      <c r="BU16" s="12">
        <v>-32368.479999999981</v>
      </c>
      <c r="BV16" s="12">
        <v>50503.369999999995</v>
      </c>
      <c r="BW16" s="12">
        <v>-21123.859999999928</v>
      </c>
      <c r="BX16" s="12">
        <v>-28337.130000000005</v>
      </c>
      <c r="BY16" s="12">
        <v>-53180.960000000021</v>
      </c>
      <c r="BZ16" s="12">
        <v>-27432.759999999893</v>
      </c>
      <c r="CA16" s="20"/>
      <c r="CB16" s="12"/>
      <c r="CC16" s="12"/>
      <c r="CD16" s="12"/>
      <c r="CE16" s="12"/>
      <c r="CF16" s="12"/>
      <c r="CG16" s="12"/>
      <c r="CH16" s="12">
        <v>0</v>
      </c>
      <c r="CI16" s="12">
        <v>0</v>
      </c>
      <c r="CJ16" s="12">
        <v>0</v>
      </c>
      <c r="CK16" s="12">
        <v>0</v>
      </c>
      <c r="CL16" s="12">
        <v>0</v>
      </c>
      <c r="CM16" s="12">
        <v>0</v>
      </c>
      <c r="CN16" s="12">
        <v>0</v>
      </c>
      <c r="CO16" s="12">
        <v>0</v>
      </c>
      <c r="CP16" s="12">
        <v>0</v>
      </c>
      <c r="CQ16" s="12">
        <v>0</v>
      </c>
      <c r="CR16" s="12">
        <v>0</v>
      </c>
      <c r="CS16" s="12">
        <v>0</v>
      </c>
    </row>
    <row r="17" spans="1:97" x14ac:dyDescent="0.3">
      <c r="A17" s="4" t="s">
        <v>24</v>
      </c>
      <c r="B17" s="9">
        <f>SUM(B15:B16)</f>
        <v>403899.69000000006</v>
      </c>
      <c r="C17" s="9">
        <f t="shared" ref="C17:BN17" si="9">SUM(C15:C16)</f>
        <v>401274.58</v>
      </c>
      <c r="D17" s="9">
        <f t="shared" si="9"/>
        <v>603277</v>
      </c>
      <c r="E17" s="9">
        <f t="shared" si="9"/>
        <v>505124.00000000006</v>
      </c>
      <c r="F17" s="9">
        <f t="shared" si="9"/>
        <v>488745.29000000004</v>
      </c>
      <c r="G17" s="9">
        <f t="shared" si="9"/>
        <v>462714.81000000006</v>
      </c>
      <c r="H17" s="9">
        <f t="shared" si="9"/>
        <v>401195.15</v>
      </c>
      <c r="I17" s="9">
        <f t="shared" si="9"/>
        <v>415266.78</v>
      </c>
      <c r="J17" s="9">
        <f t="shared" si="9"/>
        <v>377306.6</v>
      </c>
      <c r="K17" s="9">
        <f t="shared" si="9"/>
        <v>378994.78</v>
      </c>
      <c r="L17" s="9">
        <f t="shared" si="9"/>
        <v>404083.94</v>
      </c>
      <c r="M17" s="9">
        <f t="shared" si="9"/>
        <v>533363.11</v>
      </c>
      <c r="N17" s="9">
        <f t="shared" si="9"/>
        <v>400354.19</v>
      </c>
      <c r="O17" s="9">
        <f t="shared" si="9"/>
        <v>433602.8</v>
      </c>
      <c r="P17" s="9">
        <f t="shared" si="9"/>
        <v>420844.14</v>
      </c>
      <c r="Q17" s="9">
        <f t="shared" si="9"/>
        <v>321610.42</v>
      </c>
      <c r="R17" s="9">
        <f t="shared" si="9"/>
        <v>306938.36</v>
      </c>
      <c r="S17" s="9">
        <f t="shared" si="9"/>
        <v>277048.80000000005</v>
      </c>
      <c r="T17" s="9">
        <f t="shared" si="9"/>
        <v>360026.86</v>
      </c>
      <c r="U17" s="9">
        <f t="shared" si="9"/>
        <v>402615.62000000005</v>
      </c>
      <c r="V17" s="9">
        <f t="shared" si="9"/>
        <v>476169.58</v>
      </c>
      <c r="W17" s="9">
        <f t="shared" si="9"/>
        <v>384361.81</v>
      </c>
      <c r="X17" s="9">
        <f t="shared" si="9"/>
        <v>351844.49</v>
      </c>
      <c r="Y17" s="9">
        <f t="shared" si="9"/>
        <v>264805.36</v>
      </c>
      <c r="Z17" s="9">
        <f t="shared" si="9"/>
        <v>426951.49</v>
      </c>
      <c r="AA17" s="9">
        <f t="shared" si="9"/>
        <v>395417.79</v>
      </c>
      <c r="AB17" s="9">
        <f t="shared" si="9"/>
        <v>406530.74000000005</v>
      </c>
      <c r="AC17" s="9">
        <f t="shared" si="9"/>
        <v>490951.74</v>
      </c>
      <c r="AD17" s="9">
        <f t="shared" si="9"/>
        <v>453148.97000000003</v>
      </c>
      <c r="AE17" s="9">
        <f t="shared" si="9"/>
        <v>471692.73000000004</v>
      </c>
      <c r="AF17" s="9">
        <f t="shared" si="9"/>
        <v>490988.14</v>
      </c>
      <c r="AG17" s="9">
        <f t="shared" si="9"/>
        <v>553867.68999999994</v>
      </c>
      <c r="AH17" s="9">
        <f t="shared" si="9"/>
        <v>567309.15</v>
      </c>
      <c r="AI17" s="9">
        <f t="shared" si="9"/>
        <v>589816.95000000007</v>
      </c>
      <c r="AJ17" s="9">
        <f t="shared" si="9"/>
        <v>513416.49000000005</v>
      </c>
      <c r="AK17" s="9">
        <f t="shared" si="9"/>
        <v>433807.83999999997</v>
      </c>
      <c r="AL17" s="9">
        <f t="shared" si="9"/>
        <v>491968.88</v>
      </c>
      <c r="AM17" s="9">
        <f t="shared" si="9"/>
        <v>475031.02</v>
      </c>
      <c r="AN17" s="9">
        <f t="shared" si="9"/>
        <v>548347.81000000006</v>
      </c>
      <c r="AO17" s="9">
        <f t="shared" si="9"/>
        <v>570698.26</v>
      </c>
      <c r="AP17" s="9">
        <f t="shared" si="9"/>
        <v>433339.43999999994</v>
      </c>
      <c r="AQ17" s="9">
        <f t="shared" si="9"/>
        <v>487163.83999999997</v>
      </c>
      <c r="AR17" s="9">
        <f t="shared" si="9"/>
        <v>482424.98</v>
      </c>
      <c r="AS17" s="9">
        <f t="shared" si="9"/>
        <v>579449.71</v>
      </c>
      <c r="AT17" s="9">
        <f t="shared" si="9"/>
        <v>565194.43000000005</v>
      </c>
      <c r="AU17" s="9">
        <f t="shared" si="9"/>
        <v>531365.24</v>
      </c>
      <c r="AV17" s="9">
        <f t="shared" si="9"/>
        <v>568133.25</v>
      </c>
      <c r="AW17" s="9">
        <f t="shared" si="9"/>
        <v>450287.00999999995</v>
      </c>
      <c r="AX17" s="9">
        <f t="shared" si="9"/>
        <v>577959.63000000012</v>
      </c>
      <c r="AY17" s="9">
        <f t="shared" si="9"/>
        <v>534011.52</v>
      </c>
      <c r="AZ17" s="9">
        <f t="shared" si="9"/>
        <v>506282.23000000004</v>
      </c>
      <c r="BA17" s="9">
        <f t="shared" si="9"/>
        <v>439694.89</v>
      </c>
      <c r="BB17" s="9">
        <f t="shared" si="9"/>
        <v>530169.65</v>
      </c>
      <c r="BC17" s="9">
        <f t="shared" si="9"/>
        <v>587953.14</v>
      </c>
      <c r="BD17" s="9">
        <f t="shared" si="9"/>
        <v>553042.15</v>
      </c>
      <c r="BE17" s="9">
        <f t="shared" si="9"/>
        <v>542498.30000000005</v>
      </c>
      <c r="BF17" s="9">
        <f t="shared" si="9"/>
        <v>501649.98</v>
      </c>
      <c r="BG17" s="9">
        <f t="shared" si="9"/>
        <v>499282.67</v>
      </c>
      <c r="BH17" s="9">
        <f t="shared" si="9"/>
        <v>498520.22</v>
      </c>
      <c r="BI17" s="9">
        <f t="shared" si="9"/>
        <v>407478.37</v>
      </c>
      <c r="BJ17" s="9">
        <f t="shared" si="9"/>
        <v>548525.58000000007</v>
      </c>
      <c r="BK17" s="9">
        <f t="shared" si="9"/>
        <v>457371.82</v>
      </c>
      <c r="BL17" s="9">
        <f t="shared" si="9"/>
        <v>475906.54</v>
      </c>
      <c r="BM17" s="9">
        <f t="shared" si="9"/>
        <v>469372.25</v>
      </c>
      <c r="BN17" s="9">
        <f t="shared" si="9"/>
        <v>486067.32</v>
      </c>
      <c r="BO17" s="9">
        <f t="shared" ref="BO17:CS17" si="10">SUM(BO15:BO16)</f>
        <v>465724.02999999997</v>
      </c>
      <c r="BP17" s="9">
        <f t="shared" si="10"/>
        <v>460174.31000000006</v>
      </c>
      <c r="BQ17" s="9">
        <f t="shared" si="10"/>
        <v>456479.03</v>
      </c>
      <c r="BR17" s="9">
        <f t="shared" si="10"/>
        <v>448351.45999999996</v>
      </c>
      <c r="BS17" s="9">
        <f t="shared" si="10"/>
        <v>455117.08</v>
      </c>
      <c r="BT17" s="9">
        <f t="shared" si="10"/>
        <v>443872.18</v>
      </c>
      <c r="BU17" s="9">
        <f t="shared" si="10"/>
        <v>440305.92000000004</v>
      </c>
      <c r="BV17" s="9">
        <f t="shared" si="10"/>
        <v>520819.52</v>
      </c>
      <c r="BW17" s="9">
        <f t="shared" si="10"/>
        <v>428699.42000000004</v>
      </c>
      <c r="BX17" s="9">
        <f t="shared" si="10"/>
        <v>444585.39</v>
      </c>
      <c r="BY17" s="9">
        <f t="shared" si="10"/>
        <v>415459.15</v>
      </c>
      <c r="BZ17" s="9">
        <f t="shared" ref="BZ17" si="11">SUM(BZ15:BZ16)</f>
        <v>425810.91000000003</v>
      </c>
      <c r="CA17" s="20"/>
      <c r="CB17" s="9"/>
      <c r="CC17" s="9"/>
      <c r="CD17" s="9"/>
      <c r="CE17" s="9"/>
      <c r="CF17" s="9"/>
      <c r="CG17" s="9"/>
      <c r="CH17" s="9">
        <f t="shared" si="10"/>
        <v>484686.78</v>
      </c>
      <c r="CI17" s="9">
        <f t="shared" si="10"/>
        <v>495896.78</v>
      </c>
      <c r="CJ17" s="9">
        <f t="shared" si="10"/>
        <v>497036.78</v>
      </c>
      <c r="CK17" s="9">
        <f t="shared" si="10"/>
        <v>498308.78</v>
      </c>
      <c r="CL17" s="9">
        <f t="shared" si="10"/>
        <v>504574.78</v>
      </c>
      <c r="CM17" s="9">
        <f t="shared" si="10"/>
        <v>405120.21824390237</v>
      </c>
      <c r="CN17" s="9">
        <f t="shared" si="10"/>
        <v>405120.21824390237</v>
      </c>
      <c r="CO17" s="9">
        <f t="shared" si="10"/>
        <v>405120.21824390237</v>
      </c>
      <c r="CP17" s="9">
        <f t="shared" si="10"/>
        <v>405120.21824390237</v>
      </c>
      <c r="CQ17" s="9">
        <f t="shared" si="10"/>
        <v>405120.21824390237</v>
      </c>
      <c r="CR17" s="9">
        <f t="shared" si="10"/>
        <v>405120.21824390237</v>
      </c>
      <c r="CS17" s="9">
        <f t="shared" si="10"/>
        <v>405120.21824390237</v>
      </c>
    </row>
    <row r="18" spans="1:97" ht="27.6" x14ac:dyDescent="0.3">
      <c r="A18" s="5" t="s">
        <v>25</v>
      </c>
      <c r="CA18" s="20"/>
    </row>
    <row r="19" spans="1:97" x14ac:dyDescent="0.3">
      <c r="A19" s="4" t="s">
        <v>9</v>
      </c>
      <c r="B19" s="8">
        <f>B17/B5</f>
        <v>0.36048171175090871</v>
      </c>
      <c r="C19" s="8">
        <f t="shared" ref="C19:BN19" si="12">C17/C5</f>
        <v>0.32251507091939219</v>
      </c>
      <c r="D19" s="8">
        <f t="shared" si="12"/>
        <v>0.45011232383274608</v>
      </c>
      <c r="E19" s="8">
        <f t="shared" si="12"/>
        <v>0.34784391470820719</v>
      </c>
      <c r="F19" s="8">
        <f t="shared" si="12"/>
        <v>0.3511562719313126</v>
      </c>
      <c r="G19" s="8">
        <f t="shared" si="12"/>
        <v>0.34391290373428557</v>
      </c>
      <c r="H19" s="8">
        <f t="shared" si="12"/>
        <v>0.32541086985047907</v>
      </c>
      <c r="I19" s="8">
        <f t="shared" si="12"/>
        <v>0.35353274680456137</v>
      </c>
      <c r="J19" s="8">
        <f t="shared" si="12"/>
        <v>0.32999686941390799</v>
      </c>
      <c r="K19" s="8">
        <f t="shared" si="12"/>
        <v>0.35412856948410787</v>
      </c>
      <c r="L19" s="8">
        <f t="shared" si="12"/>
        <v>0.3387701181780422</v>
      </c>
      <c r="M19" s="8">
        <f t="shared" si="12"/>
        <v>0.40269884115205107</v>
      </c>
      <c r="N19" s="8">
        <f t="shared" si="12"/>
        <v>0.3498143888637949</v>
      </c>
      <c r="O19" s="8">
        <f t="shared" si="12"/>
        <v>0.35245859457213857</v>
      </c>
      <c r="P19" s="8">
        <f t="shared" si="12"/>
        <v>0.3647839999219194</v>
      </c>
      <c r="Q19" s="8">
        <f t="shared" si="12"/>
        <v>0.4185491757028259</v>
      </c>
      <c r="R19" s="8">
        <f t="shared" si="12"/>
        <v>0.43758307550665049</v>
      </c>
      <c r="S19" s="8">
        <f t="shared" si="12"/>
        <v>0.43688825031387729</v>
      </c>
      <c r="T19" s="8">
        <f t="shared" si="12"/>
        <v>0.3890344387466077</v>
      </c>
      <c r="U19" s="8">
        <f t="shared" si="12"/>
        <v>0.38033164653125212</v>
      </c>
      <c r="V19" s="8">
        <f t="shared" si="12"/>
        <v>0.44305031099057152</v>
      </c>
      <c r="W19" s="8">
        <f t="shared" si="12"/>
        <v>0.38603959599011239</v>
      </c>
      <c r="X19" s="8">
        <f t="shared" si="12"/>
        <v>0.34041260414602242</v>
      </c>
      <c r="Y19" s="8">
        <f t="shared" si="12"/>
        <v>0.29876757260457903</v>
      </c>
      <c r="Z19" s="8">
        <f t="shared" si="12"/>
        <v>0.35242041820448861</v>
      </c>
      <c r="AA19" s="8">
        <f t="shared" si="12"/>
        <v>0.33265268231011758</v>
      </c>
      <c r="AB19" s="8">
        <f t="shared" si="12"/>
        <v>0.31805136332793799</v>
      </c>
      <c r="AC19" s="8">
        <f t="shared" si="12"/>
        <v>0.39190897430452865</v>
      </c>
      <c r="AD19" s="8">
        <f t="shared" si="12"/>
        <v>0.36732666808939368</v>
      </c>
      <c r="AE19" s="8">
        <f t="shared" si="12"/>
        <v>0.36859326754841032</v>
      </c>
      <c r="AF19" s="8">
        <f t="shared" si="12"/>
        <v>0.3777416154318825</v>
      </c>
      <c r="AG19" s="8">
        <f t="shared" si="12"/>
        <v>0.37980539800304652</v>
      </c>
      <c r="AH19" s="8">
        <f t="shared" si="12"/>
        <v>0.36388754012776808</v>
      </c>
      <c r="AI19" s="8">
        <f t="shared" si="12"/>
        <v>0.37503219680966399</v>
      </c>
      <c r="AJ19" s="8">
        <f t="shared" si="12"/>
        <v>0.3532356394561334</v>
      </c>
      <c r="AK19" s="8">
        <f t="shared" si="12"/>
        <v>0.37140842747820296</v>
      </c>
      <c r="AL19" s="8">
        <f t="shared" si="12"/>
        <v>0.32770671058569623</v>
      </c>
      <c r="AM19" s="8">
        <f t="shared" si="12"/>
        <v>0.35293223552175573</v>
      </c>
      <c r="AN19" s="8">
        <f t="shared" si="12"/>
        <v>0.33860189739466307</v>
      </c>
      <c r="AO19" s="8">
        <f t="shared" si="12"/>
        <v>0.32056220907500621</v>
      </c>
      <c r="AP19" s="8">
        <f t="shared" si="12"/>
        <v>0.33176540913704733</v>
      </c>
      <c r="AQ19" s="8">
        <f t="shared" si="12"/>
        <v>0.31928630805308422</v>
      </c>
      <c r="AR19" s="8">
        <f t="shared" si="12"/>
        <v>0.3011266227748236</v>
      </c>
      <c r="AS19" s="8">
        <f t="shared" si="12"/>
        <v>0.32960922035739232</v>
      </c>
      <c r="AT19" s="8">
        <f t="shared" si="12"/>
        <v>0.34789086285250559</v>
      </c>
      <c r="AU19" s="8">
        <f t="shared" si="12"/>
        <v>0.35982235179021776</v>
      </c>
      <c r="AV19" s="8">
        <f t="shared" si="12"/>
        <v>0.30922314965595293</v>
      </c>
      <c r="AW19" s="8">
        <f t="shared" si="12"/>
        <v>0.36955867323542024</v>
      </c>
      <c r="AX19" s="8">
        <f t="shared" si="12"/>
        <v>0.31809022526373193</v>
      </c>
      <c r="AY19" s="8">
        <f t="shared" si="12"/>
        <v>0.33834218705259922</v>
      </c>
      <c r="AZ19" s="8">
        <f t="shared" si="12"/>
        <v>0.32982680970052153</v>
      </c>
      <c r="BA19" s="8">
        <f t="shared" si="12"/>
        <v>0.28001347035196356</v>
      </c>
      <c r="BB19" s="8">
        <f t="shared" si="12"/>
        <v>0.44312259438441431</v>
      </c>
      <c r="BC19" s="8">
        <f t="shared" si="12"/>
        <v>0.36989615627445627</v>
      </c>
      <c r="BD19" s="8">
        <f t="shared" si="12"/>
        <v>0.37328908176676417</v>
      </c>
      <c r="BE19" s="8">
        <f t="shared" si="12"/>
        <v>0.3551882842626905</v>
      </c>
      <c r="BF19" s="8">
        <f t="shared" si="12"/>
        <v>0.48844355548871388</v>
      </c>
      <c r="BG19" s="8">
        <f t="shared" si="12"/>
        <v>0.45326774857889546</v>
      </c>
      <c r="BH19" s="8">
        <f t="shared" si="12"/>
        <v>0.41468806303734917</v>
      </c>
      <c r="BI19" s="8">
        <f t="shared" si="12"/>
        <v>0.46571791329835688</v>
      </c>
      <c r="BJ19" s="8">
        <f t="shared" si="12"/>
        <v>0.35708309047987385</v>
      </c>
      <c r="BK19" s="8">
        <f t="shared" si="12"/>
        <v>0.3331736516861184</v>
      </c>
      <c r="BL19" s="8">
        <f t="shared" si="12"/>
        <v>0.40475884052941963</v>
      </c>
      <c r="BM19" s="8">
        <f t="shared" si="12"/>
        <v>0.41309106295670539</v>
      </c>
      <c r="BN19" s="8">
        <f t="shared" si="12"/>
        <v>0.4291219945370448</v>
      </c>
      <c r="BO19" s="8">
        <f t="shared" ref="BO19:CS19" si="13">BO17/BO5</f>
        <v>0.46596157721206272</v>
      </c>
      <c r="BP19" s="8">
        <f t="shared" si="13"/>
        <v>0.45587229783005351</v>
      </c>
      <c r="BQ19" s="8">
        <f t="shared" si="13"/>
        <v>0.45619152441556754</v>
      </c>
      <c r="BR19" s="8">
        <f t="shared" si="13"/>
        <v>0.33708741557570354</v>
      </c>
      <c r="BS19" s="8">
        <f t="shared" si="13"/>
        <v>0.42361118059598152</v>
      </c>
      <c r="BT19" s="8">
        <f t="shared" si="13"/>
        <v>0.35850232586802433</v>
      </c>
      <c r="BU19" s="8">
        <f t="shared" si="13"/>
        <v>0.37840187781061457</v>
      </c>
      <c r="BV19" s="8">
        <f t="shared" si="13"/>
        <v>0.33469439212737812</v>
      </c>
      <c r="BW19" s="8">
        <f t="shared" si="13"/>
        <v>0.38286181385669255</v>
      </c>
      <c r="BX19" s="8">
        <f t="shared" si="13"/>
        <v>0.39292566500943393</v>
      </c>
      <c r="BY19" s="8">
        <f t="shared" si="13"/>
        <v>0.45063267998872902</v>
      </c>
      <c r="BZ19" s="8">
        <f t="shared" ref="BZ19" si="14">BZ17/BZ5</f>
        <v>0.37546444348032448</v>
      </c>
      <c r="CA19" s="22"/>
      <c r="CB19" s="8"/>
      <c r="CC19" s="8"/>
      <c r="CD19" s="8"/>
      <c r="CE19" s="8"/>
      <c r="CF19" s="8"/>
      <c r="CG19" s="8"/>
      <c r="CH19" s="8">
        <f t="shared" si="13"/>
        <v>0.37416375362422644</v>
      </c>
      <c r="CI19" s="8">
        <f t="shared" si="13"/>
        <v>0.37107002008789636</v>
      </c>
      <c r="CJ19" s="8">
        <f t="shared" si="13"/>
        <v>0.37295843814103119</v>
      </c>
      <c r="CK19" s="8">
        <f t="shared" si="13"/>
        <v>0.37604554932389289</v>
      </c>
      <c r="CL19" s="8">
        <f t="shared" si="13"/>
        <v>0.38877599233405763</v>
      </c>
      <c r="CM19" s="8">
        <f t="shared" si="13"/>
        <v>0.35911085688592315</v>
      </c>
      <c r="CN19" s="8">
        <f t="shared" si="13"/>
        <v>0.35911085688592315</v>
      </c>
      <c r="CO19" s="8">
        <f t="shared" si="13"/>
        <v>0.35911085688592315</v>
      </c>
      <c r="CP19" s="8">
        <f t="shared" si="13"/>
        <v>0.35911085688592315</v>
      </c>
      <c r="CQ19" s="8">
        <f t="shared" si="13"/>
        <v>0.35911085688592315</v>
      </c>
      <c r="CR19" s="8">
        <f t="shared" si="13"/>
        <v>0.35911085688592315</v>
      </c>
      <c r="CS19" s="8">
        <f t="shared" si="13"/>
        <v>0.35911085688592315</v>
      </c>
    </row>
    <row r="20" spans="1:97" x14ac:dyDescent="0.3">
      <c r="A20" s="6" t="s">
        <v>10</v>
      </c>
      <c r="B20" s="10">
        <f>B4-B5</f>
        <v>281819.25999999978</v>
      </c>
      <c r="C20" s="10">
        <f t="shared" ref="C20:BN20" si="15">C4-C5</f>
        <v>333921.22999999975</v>
      </c>
      <c r="D20" s="10">
        <f t="shared" si="15"/>
        <v>337407.31000000006</v>
      </c>
      <c r="E20" s="10">
        <f t="shared" si="15"/>
        <v>359363.47999999975</v>
      </c>
      <c r="F20" s="10">
        <f t="shared" si="15"/>
        <v>365067.48</v>
      </c>
      <c r="G20" s="10">
        <f t="shared" si="15"/>
        <v>275963.55999999982</v>
      </c>
      <c r="H20" s="10">
        <f t="shared" si="15"/>
        <v>285962.54000000004</v>
      </c>
      <c r="I20" s="10">
        <f t="shared" si="15"/>
        <v>170760.51</v>
      </c>
      <c r="J20" s="10">
        <f t="shared" si="15"/>
        <v>218309.7200000002</v>
      </c>
      <c r="K20" s="10">
        <f t="shared" si="15"/>
        <v>232147.32999999984</v>
      </c>
      <c r="L20" s="10">
        <f t="shared" si="15"/>
        <v>184003</v>
      </c>
      <c r="M20" s="10">
        <f t="shared" si="15"/>
        <v>35037.999999999767</v>
      </c>
      <c r="N20" s="10">
        <f t="shared" si="15"/>
        <v>180246.51999999979</v>
      </c>
      <c r="O20" s="10">
        <f t="shared" si="15"/>
        <v>269487.02</v>
      </c>
      <c r="P20" s="10">
        <f t="shared" si="15"/>
        <v>348740.88000000012</v>
      </c>
      <c r="Q20" s="10">
        <f t="shared" si="15"/>
        <v>162531.13000000012</v>
      </c>
      <c r="R20" s="10">
        <f t="shared" si="15"/>
        <v>145903.02000000002</v>
      </c>
      <c r="S20" s="10">
        <f t="shared" si="15"/>
        <v>171323.27999999991</v>
      </c>
      <c r="T20" s="10">
        <f t="shared" si="15"/>
        <v>283367.43000000017</v>
      </c>
      <c r="U20" s="10">
        <f t="shared" si="15"/>
        <v>370862.3200000003</v>
      </c>
      <c r="V20" s="10">
        <f t="shared" si="15"/>
        <v>232354.96999999997</v>
      </c>
      <c r="W20" s="10">
        <f t="shared" si="15"/>
        <v>200236.2899999998</v>
      </c>
      <c r="X20" s="10">
        <f t="shared" si="15"/>
        <v>332783.20000000007</v>
      </c>
      <c r="Y20" s="10">
        <f t="shared" si="15"/>
        <v>473090.79000000015</v>
      </c>
      <c r="Z20" s="10">
        <f t="shared" si="15"/>
        <v>323365.44999999995</v>
      </c>
      <c r="AA20" s="10">
        <f t="shared" si="15"/>
        <v>376615.06999999983</v>
      </c>
      <c r="AB20" s="10">
        <f t="shared" si="15"/>
        <v>428936.96999999974</v>
      </c>
      <c r="AC20" s="10">
        <f t="shared" si="15"/>
        <v>356433.62000000011</v>
      </c>
      <c r="AD20" s="10">
        <f t="shared" si="15"/>
        <v>385038.75999999978</v>
      </c>
      <c r="AE20" s="10">
        <f t="shared" si="15"/>
        <v>352032.07000000007</v>
      </c>
      <c r="AF20" s="10">
        <f t="shared" si="15"/>
        <v>315044.57000000007</v>
      </c>
      <c r="AG20" s="10">
        <f t="shared" si="15"/>
        <v>343316.84000000008</v>
      </c>
      <c r="AH20" s="10">
        <f t="shared" si="15"/>
        <v>351166.62999999966</v>
      </c>
      <c r="AI20" s="10">
        <f t="shared" si="15"/>
        <v>375905.85000000009</v>
      </c>
      <c r="AJ20" s="10">
        <f t="shared" si="15"/>
        <v>361443.24999999977</v>
      </c>
      <c r="AK20" s="10">
        <f t="shared" si="15"/>
        <v>295656.30000000005</v>
      </c>
      <c r="AL20" s="10">
        <f t="shared" si="15"/>
        <v>367508.84000000008</v>
      </c>
      <c r="AM20" s="10">
        <f t="shared" si="15"/>
        <v>311526.86000000034</v>
      </c>
      <c r="AN20" s="10">
        <f t="shared" si="15"/>
        <v>431311.02000000025</v>
      </c>
      <c r="AO20" s="10">
        <f t="shared" si="15"/>
        <v>411144.22</v>
      </c>
      <c r="AP20" s="10">
        <f t="shared" si="15"/>
        <v>319666.18000000017</v>
      </c>
      <c r="AQ20" s="10">
        <f t="shared" si="15"/>
        <v>347898.6100000001</v>
      </c>
      <c r="AR20" s="10">
        <f t="shared" si="15"/>
        <v>244754.65999999992</v>
      </c>
      <c r="AS20" s="10">
        <f t="shared" si="15"/>
        <v>158643.78000000003</v>
      </c>
      <c r="AT20" s="10">
        <f t="shared" si="15"/>
        <v>224418.26999999979</v>
      </c>
      <c r="AU20" s="10">
        <f t="shared" si="15"/>
        <v>93377.450000000419</v>
      </c>
      <c r="AV20" s="10">
        <f t="shared" si="15"/>
        <v>151404.00000000047</v>
      </c>
      <c r="AW20" s="10">
        <f t="shared" si="15"/>
        <v>-31006.719999999972</v>
      </c>
      <c r="AX20" s="10">
        <f t="shared" si="15"/>
        <v>193365.63000000012</v>
      </c>
      <c r="AY20" s="10">
        <f t="shared" si="15"/>
        <v>167963.65999999968</v>
      </c>
      <c r="AZ20" s="10">
        <f t="shared" si="15"/>
        <v>98224.669999999693</v>
      </c>
      <c r="BA20" s="10">
        <f t="shared" si="15"/>
        <v>58777.889999999898</v>
      </c>
      <c r="BB20" s="10">
        <f t="shared" si="15"/>
        <v>-170820.13000000012</v>
      </c>
      <c r="BC20" s="10">
        <f t="shared" si="15"/>
        <v>-30183.019999999786</v>
      </c>
      <c r="BD20" s="10">
        <f t="shared" si="15"/>
        <v>-84942.670000000158</v>
      </c>
      <c r="BE20" s="10">
        <f t="shared" si="15"/>
        <v>-205527.96999999997</v>
      </c>
      <c r="BF20" s="10">
        <f t="shared" si="15"/>
        <v>-197830.18999999994</v>
      </c>
      <c r="BG20" s="10">
        <f t="shared" si="15"/>
        <v>-198576.46999999997</v>
      </c>
      <c r="BH20" s="10">
        <f t="shared" si="15"/>
        <v>-181387.88999999978</v>
      </c>
      <c r="BI20" s="10">
        <f t="shared" si="15"/>
        <v>-183387.15999999992</v>
      </c>
      <c r="BJ20" s="10">
        <f t="shared" si="15"/>
        <v>-20980.479999999516</v>
      </c>
      <c r="BK20" s="10">
        <f t="shared" si="15"/>
        <v>25239.969999999739</v>
      </c>
      <c r="BL20" s="10">
        <f t="shared" si="15"/>
        <v>-128405.58000000007</v>
      </c>
      <c r="BM20" s="10">
        <f t="shared" si="15"/>
        <v>-159492.16000000003</v>
      </c>
      <c r="BN20" s="10">
        <f t="shared" si="15"/>
        <v>-98306.529999999795</v>
      </c>
      <c r="BO20" s="10">
        <f t="shared" ref="BO20:CS20" si="16">BO4-BO5</f>
        <v>-115981.11999999976</v>
      </c>
      <c r="BP20" s="10">
        <f t="shared" si="16"/>
        <v>-190951.56000000017</v>
      </c>
      <c r="BQ20" s="10">
        <f t="shared" si="16"/>
        <v>-175369.60000000009</v>
      </c>
      <c r="BR20" s="10">
        <f t="shared" si="16"/>
        <v>-45443.919999999925</v>
      </c>
      <c r="BS20" s="10">
        <f t="shared" si="16"/>
        <v>-112979.52000000014</v>
      </c>
      <c r="BT20" s="10">
        <f t="shared" si="16"/>
        <v>-55289.14000000013</v>
      </c>
      <c r="BU20" s="10">
        <f t="shared" si="16"/>
        <v>-7984.8000000000466</v>
      </c>
      <c r="BV20" s="10">
        <f t="shared" si="16"/>
        <v>36496.89000000013</v>
      </c>
      <c r="BW20" s="10">
        <f t="shared" si="16"/>
        <v>-17378.389999999898</v>
      </c>
      <c r="BX20" s="10">
        <f>BX4-BX5</f>
        <v>-27084.030000000028</v>
      </c>
      <c r="BY20" s="10">
        <f>BY4-BY5</f>
        <v>-82314.04999999993</v>
      </c>
      <c r="BZ20" s="10">
        <f>BZ4-BZ5</f>
        <v>-124352.21999999997</v>
      </c>
      <c r="CA20" s="23"/>
      <c r="CB20" s="10"/>
      <c r="CC20" s="10"/>
      <c r="CD20" s="10"/>
      <c r="CE20" s="10"/>
      <c r="CF20" s="10"/>
      <c r="CG20" s="10"/>
      <c r="CH20" s="10">
        <f>CH4-CH5</f>
        <v>-57886.780000000028</v>
      </c>
      <c r="CI20" s="10">
        <f t="shared" si="16"/>
        <v>-45396.780000000028</v>
      </c>
      <c r="CJ20" s="10">
        <f t="shared" si="16"/>
        <v>-47686.780000000028</v>
      </c>
      <c r="CK20" s="10">
        <f t="shared" si="16"/>
        <v>-43928.780000000028</v>
      </c>
      <c r="CL20" s="10">
        <f t="shared" si="16"/>
        <v>-45554.780000000028</v>
      </c>
      <c r="CM20" s="10">
        <f t="shared" si="16"/>
        <v>60879.781756097684</v>
      </c>
      <c r="CN20" s="10">
        <f t="shared" si="16"/>
        <v>60879.781756097684</v>
      </c>
      <c r="CO20" s="10">
        <f t="shared" si="16"/>
        <v>60879.781756097684</v>
      </c>
      <c r="CP20" s="10">
        <f t="shared" si="16"/>
        <v>60879.781756097684</v>
      </c>
      <c r="CQ20" s="10">
        <f t="shared" si="16"/>
        <v>60879.781756097684</v>
      </c>
      <c r="CR20" s="10">
        <f t="shared" si="16"/>
        <v>60879.781756097684</v>
      </c>
      <c r="CS20" s="10">
        <f t="shared" si="16"/>
        <v>60879.781756097684</v>
      </c>
    </row>
    <row r="21" spans="1:97" x14ac:dyDescent="0.3">
      <c r="A21" s="4" t="s">
        <v>26</v>
      </c>
      <c r="B21" s="11">
        <f t="shared" ref="B21:BM21" si="17">B20/(B4)</f>
        <v>0.20097452576658559</v>
      </c>
      <c r="C21" s="11">
        <f t="shared" si="17"/>
        <v>0.21159360376537883</v>
      </c>
      <c r="D21" s="11">
        <f t="shared" si="17"/>
        <v>0.20111441796292653</v>
      </c>
      <c r="E21" s="11">
        <f t="shared" si="17"/>
        <v>0.19837670624271958</v>
      </c>
      <c r="F21" s="11">
        <f t="shared" si="17"/>
        <v>0.20779252801666748</v>
      </c>
      <c r="G21" s="11">
        <f t="shared" si="17"/>
        <v>0.17020022259701359</v>
      </c>
      <c r="H21" s="11">
        <f t="shared" si="17"/>
        <v>0.18827563096860911</v>
      </c>
      <c r="I21" s="11">
        <f t="shared" si="17"/>
        <v>0.1269235407322411</v>
      </c>
      <c r="J21" s="11">
        <f t="shared" si="17"/>
        <v>0.16032452410228337</v>
      </c>
      <c r="K21" s="11">
        <f t="shared" si="17"/>
        <v>0.17825054100026114</v>
      </c>
      <c r="L21" s="11">
        <f t="shared" si="17"/>
        <v>0.13364542129390658</v>
      </c>
      <c r="M21" s="11">
        <f t="shared" si="17"/>
        <v>2.5772531787440246E-2</v>
      </c>
      <c r="N21" s="11">
        <f t="shared" si="17"/>
        <v>0.13606359858426795</v>
      </c>
      <c r="O21" s="11">
        <f t="shared" si="17"/>
        <v>0.17969270720328878</v>
      </c>
      <c r="P21" s="11">
        <f t="shared" si="17"/>
        <v>0.23211924085871394</v>
      </c>
      <c r="Q21" s="11">
        <f t="shared" si="17"/>
        <v>0.17459109359371061</v>
      </c>
      <c r="R21" s="11">
        <f t="shared" si="17"/>
        <v>0.17218880915811188</v>
      </c>
      <c r="S21" s="11">
        <f t="shared" si="17"/>
        <v>0.21270124679254895</v>
      </c>
      <c r="T21" s="11">
        <f t="shared" si="17"/>
        <v>0.23441958460079101</v>
      </c>
      <c r="U21" s="11">
        <f t="shared" si="17"/>
        <v>0.25944348147328689</v>
      </c>
      <c r="V21" s="11">
        <f t="shared" si="17"/>
        <v>0.17776266672295377</v>
      </c>
      <c r="W21" s="11">
        <f t="shared" si="17"/>
        <v>0.16743702728412815</v>
      </c>
      <c r="X21" s="11">
        <f t="shared" si="17"/>
        <v>0.24355354837523582</v>
      </c>
      <c r="Y21" s="11">
        <f t="shared" si="17"/>
        <v>0.34801020464347343</v>
      </c>
      <c r="Z21" s="11">
        <f t="shared" si="17"/>
        <v>0.21068227525673111</v>
      </c>
      <c r="AA21" s="11">
        <f t="shared" si="17"/>
        <v>0.24060315071337279</v>
      </c>
      <c r="AB21" s="11">
        <f t="shared" si="17"/>
        <v>0.25126217902199965</v>
      </c>
      <c r="AC21" s="11">
        <f t="shared" si="17"/>
        <v>0.22150395175119586</v>
      </c>
      <c r="AD21" s="11">
        <f t="shared" si="17"/>
        <v>0.23787221114491106</v>
      </c>
      <c r="AE21" s="11">
        <f t="shared" si="17"/>
        <v>0.21573993601148106</v>
      </c>
      <c r="AF21" s="11">
        <f t="shared" si="17"/>
        <v>0.1950929448592752</v>
      </c>
      <c r="AG21" s="11">
        <f t="shared" si="17"/>
        <v>0.1905611102779059</v>
      </c>
      <c r="AH21" s="11">
        <f t="shared" si="17"/>
        <v>0.18383859443672476</v>
      </c>
      <c r="AI21" s="11">
        <f t="shared" si="17"/>
        <v>0.19290914481961413</v>
      </c>
      <c r="AJ21" s="11">
        <f t="shared" si="17"/>
        <v>0.19915208939265353</v>
      </c>
      <c r="AK21" s="11">
        <f t="shared" si="17"/>
        <v>0.20199740810702416</v>
      </c>
      <c r="AL21" s="11">
        <f t="shared" si="17"/>
        <v>0.1966595816338475</v>
      </c>
      <c r="AM21" s="11">
        <f t="shared" si="17"/>
        <v>0.18795186081578283</v>
      </c>
      <c r="AN21" s="11">
        <f t="shared" si="17"/>
        <v>0.21031785628023195</v>
      </c>
      <c r="AO21" s="11">
        <f t="shared" si="17"/>
        <v>0.18761300003377673</v>
      </c>
      <c r="AP21" s="11">
        <f t="shared" si="17"/>
        <v>0.19661741790595755</v>
      </c>
      <c r="AQ21" s="11">
        <f t="shared" si="17"/>
        <v>0.18567579342001217</v>
      </c>
      <c r="AR21" s="11">
        <f t="shared" si="17"/>
        <v>0.13252751209292549</v>
      </c>
      <c r="AS21" s="11">
        <f t="shared" si="17"/>
        <v>8.277208848302825E-2</v>
      </c>
      <c r="AT21" s="11">
        <f t="shared" si="17"/>
        <v>0.12136951754190263</v>
      </c>
      <c r="AU21" s="11">
        <f t="shared" si="17"/>
        <v>5.9471509557102918E-2</v>
      </c>
      <c r="AV21" s="11">
        <f t="shared" si="17"/>
        <v>7.6132295929981678E-2</v>
      </c>
      <c r="AW21" s="11">
        <f t="shared" si="17"/>
        <v>-2.6112273786500738E-2</v>
      </c>
      <c r="AX21" s="11">
        <f t="shared" si="17"/>
        <v>9.6185860172971774E-2</v>
      </c>
      <c r="AY21" s="11">
        <f t="shared" si="17"/>
        <v>9.6183609065601069E-2</v>
      </c>
      <c r="AZ21" s="11">
        <f t="shared" si="17"/>
        <v>6.0141768876484245E-2</v>
      </c>
      <c r="BA21" s="11">
        <f t="shared" si="17"/>
        <v>3.6081278089681694E-2</v>
      </c>
      <c r="BB21" s="11">
        <f t="shared" si="17"/>
        <v>-0.16655304271126786</v>
      </c>
      <c r="BC21" s="11">
        <f t="shared" si="17"/>
        <v>-1.9356457316743896E-2</v>
      </c>
      <c r="BD21" s="11">
        <f t="shared" si="17"/>
        <v>-6.0821225129812896E-2</v>
      </c>
      <c r="BE21" s="11">
        <f t="shared" si="17"/>
        <v>-0.15548789478507677</v>
      </c>
      <c r="BF21" s="11">
        <f t="shared" si="17"/>
        <v>-0.23857740181294523</v>
      </c>
      <c r="BG21" s="11">
        <f t="shared" si="17"/>
        <v>-0.2199216910699397</v>
      </c>
      <c r="BH21" s="11">
        <f t="shared" si="17"/>
        <v>-0.17769724962132946</v>
      </c>
      <c r="BI21" s="11">
        <f t="shared" si="17"/>
        <v>-0.26517911876804584</v>
      </c>
      <c r="BJ21" s="11">
        <f t="shared" si="17"/>
        <v>-1.3847147006166155E-2</v>
      </c>
      <c r="BK21" s="11">
        <f t="shared" si="17"/>
        <v>1.8054173385577296E-2</v>
      </c>
      <c r="BL21" s="11">
        <f t="shared" si="17"/>
        <v>-0.12259782437272893</v>
      </c>
      <c r="BM21" s="11">
        <f t="shared" si="17"/>
        <v>-0.16328830947913428</v>
      </c>
      <c r="BN21" s="11">
        <f t="shared" ref="BN21:BX21" si="18">BN20/(BN4)</f>
        <v>-9.5037669443663791E-2</v>
      </c>
      <c r="BO21" s="11">
        <f t="shared" si="18"/>
        <v>-0.13127326320177687</v>
      </c>
      <c r="BP21" s="11">
        <f t="shared" si="18"/>
        <v>-0.23329869862540745</v>
      </c>
      <c r="BQ21" s="11">
        <f t="shared" si="18"/>
        <v>-0.21250207949457142</v>
      </c>
      <c r="BR21" s="11">
        <f t="shared" si="18"/>
        <v>-3.5375081259726521E-2</v>
      </c>
      <c r="BS21" s="11">
        <f t="shared" si="18"/>
        <v>-0.11751622811039036</v>
      </c>
      <c r="BT21" s="11">
        <f t="shared" si="18"/>
        <v>-4.6742703605367669E-2</v>
      </c>
      <c r="BU21" s="11">
        <f t="shared" si="18"/>
        <v>-6.9096060190207706E-3</v>
      </c>
      <c r="BV21" s="11">
        <f t="shared" si="18"/>
        <v>2.2916522248878895E-2</v>
      </c>
      <c r="BW21" s="11">
        <f t="shared" si="18"/>
        <v>-1.5764924970329528E-2</v>
      </c>
      <c r="BX21" s="11">
        <f t="shared" si="18"/>
        <v>-2.452396096264936E-2</v>
      </c>
      <c r="BY21" s="11">
        <f>BY20/(BY4)</f>
        <v>-9.8035831852059802E-2</v>
      </c>
      <c r="BZ21" s="11">
        <f>BZ20/(BZ4)</f>
        <v>-0.1231528406426235</v>
      </c>
      <c r="CA21" s="24"/>
      <c r="CB21" s="11"/>
      <c r="CC21" s="11"/>
      <c r="CD21" s="11"/>
      <c r="CE21" s="11"/>
      <c r="CF21" s="11"/>
      <c r="CG21" s="11"/>
      <c r="CH21" s="11">
        <f>CH20/(CH4)</f>
        <v>-4.677719595959598E-2</v>
      </c>
      <c r="CI21" s="11">
        <f t="shared" ref="CI21:CS21" si="19">CI20/(CI4)</f>
        <v>-3.5164043377226978E-2</v>
      </c>
      <c r="CJ21" s="11">
        <f t="shared" si="19"/>
        <v>-3.7110334630350218E-2</v>
      </c>
      <c r="CK21" s="11">
        <f t="shared" si="19"/>
        <v>-3.4287215110833616E-2</v>
      </c>
      <c r="CL21" s="11">
        <f t="shared" si="19"/>
        <v>-3.6376890521440573E-2</v>
      </c>
      <c r="CM21" s="11">
        <f t="shared" si="19"/>
        <v>5.1202507784775177E-2</v>
      </c>
      <c r="CN21" s="11">
        <f t="shared" si="19"/>
        <v>5.1202507784775177E-2</v>
      </c>
      <c r="CO21" s="11">
        <f t="shared" si="19"/>
        <v>5.1202507784775177E-2</v>
      </c>
      <c r="CP21" s="11">
        <f t="shared" si="19"/>
        <v>5.1202507784775177E-2</v>
      </c>
      <c r="CQ21" s="11">
        <f t="shared" si="19"/>
        <v>5.1202507784775177E-2</v>
      </c>
      <c r="CR21" s="11">
        <f t="shared" si="19"/>
        <v>5.1202507784775177E-2</v>
      </c>
      <c r="CS21" s="11">
        <f t="shared" si="19"/>
        <v>5.1202507784775177E-2</v>
      </c>
    </row>
    <row r="22" spans="1:97" x14ac:dyDescent="0.3">
      <c r="A22" s="4" t="s">
        <v>27</v>
      </c>
      <c r="B22" s="10">
        <f>B20+B11</f>
        <v>366831.46999999974</v>
      </c>
      <c r="C22" s="10">
        <f t="shared" ref="C22:BN22" si="20">C20+C11</f>
        <v>419486.14999999973</v>
      </c>
      <c r="D22" s="10">
        <f t="shared" si="20"/>
        <v>422484.89</v>
      </c>
      <c r="E22" s="10">
        <f t="shared" si="20"/>
        <v>443177.49999999977</v>
      </c>
      <c r="F22" s="10">
        <f t="shared" si="20"/>
        <v>448532.75</v>
      </c>
      <c r="G22" s="10">
        <f t="shared" si="20"/>
        <v>357392.86999999982</v>
      </c>
      <c r="H22" s="10">
        <f t="shared" si="20"/>
        <v>360804.24</v>
      </c>
      <c r="I22" s="10">
        <f t="shared" si="20"/>
        <v>247453.09000000003</v>
      </c>
      <c r="J22" s="10">
        <f t="shared" si="20"/>
        <v>293444.66000000021</v>
      </c>
      <c r="K22" s="10">
        <f t="shared" si="20"/>
        <v>307071.40999999986</v>
      </c>
      <c r="L22" s="10">
        <f t="shared" si="20"/>
        <v>255314.73</v>
      </c>
      <c r="M22" s="10">
        <f t="shared" si="20"/>
        <v>106442.53999999976</v>
      </c>
      <c r="N22" s="10">
        <f t="shared" si="20"/>
        <v>243093.79999999978</v>
      </c>
      <c r="O22" s="10">
        <f t="shared" si="20"/>
        <v>336461.30000000005</v>
      </c>
      <c r="P22" s="10">
        <f t="shared" si="20"/>
        <v>415639.07000000012</v>
      </c>
      <c r="Q22" s="10">
        <f t="shared" si="20"/>
        <v>229459.94000000012</v>
      </c>
      <c r="R22" s="10">
        <f t="shared" si="20"/>
        <v>212831.85</v>
      </c>
      <c r="S22" s="10">
        <f t="shared" si="20"/>
        <v>346779.73999999987</v>
      </c>
      <c r="T22" s="10">
        <f t="shared" si="20"/>
        <v>367945.0900000002</v>
      </c>
      <c r="U22" s="10">
        <f t="shared" si="20"/>
        <v>453805.74000000028</v>
      </c>
      <c r="V22" s="10">
        <f t="shared" si="20"/>
        <v>351867</v>
      </c>
      <c r="W22" s="10">
        <f t="shared" si="20"/>
        <v>285201.50999999983</v>
      </c>
      <c r="X22" s="10">
        <f t="shared" si="20"/>
        <v>416024.25000000006</v>
      </c>
      <c r="Y22" s="10">
        <f t="shared" si="20"/>
        <v>546007.87000000011</v>
      </c>
      <c r="Z22" s="10">
        <f t="shared" si="20"/>
        <v>403935.56999999995</v>
      </c>
      <c r="AA22" s="10">
        <f t="shared" si="20"/>
        <v>456843.64999999985</v>
      </c>
      <c r="AB22" s="10">
        <f t="shared" si="20"/>
        <v>508695.19999999972</v>
      </c>
      <c r="AC22" s="10">
        <f t="shared" si="20"/>
        <v>436268.97000000009</v>
      </c>
      <c r="AD22" s="10">
        <f t="shared" si="20"/>
        <v>464512.7799999998</v>
      </c>
      <c r="AE22" s="10">
        <f t="shared" si="20"/>
        <v>431470.71000000008</v>
      </c>
      <c r="AF22" s="10">
        <f t="shared" si="20"/>
        <v>394391.03000000009</v>
      </c>
      <c r="AG22" s="10">
        <f t="shared" si="20"/>
        <v>422629.02000000008</v>
      </c>
      <c r="AH22" s="10">
        <f t="shared" si="20"/>
        <v>430478.97999999963</v>
      </c>
      <c r="AI22" s="10">
        <f t="shared" si="20"/>
        <v>458232.58000000007</v>
      </c>
      <c r="AJ22" s="10">
        <f t="shared" si="20"/>
        <v>442957.32999999973</v>
      </c>
      <c r="AK22" s="10">
        <f t="shared" si="20"/>
        <v>395979.21000000008</v>
      </c>
      <c r="AL22" s="10">
        <f t="shared" si="20"/>
        <v>470716.45000000007</v>
      </c>
      <c r="AM22" s="10">
        <f t="shared" si="20"/>
        <v>414831.86000000034</v>
      </c>
      <c r="AN22" s="10">
        <f t="shared" si="20"/>
        <v>534474.99000000022</v>
      </c>
      <c r="AO22" s="10">
        <f t="shared" si="20"/>
        <v>514238.76</v>
      </c>
      <c r="AP22" s="10">
        <f t="shared" si="20"/>
        <v>422746.17000000016</v>
      </c>
      <c r="AQ22" s="10">
        <f t="shared" si="20"/>
        <v>450986.83000000007</v>
      </c>
      <c r="AR22" s="10">
        <f t="shared" si="20"/>
        <v>351120.60999999993</v>
      </c>
      <c r="AS22" s="10">
        <f t="shared" si="20"/>
        <v>277926.25</v>
      </c>
      <c r="AT22" s="10">
        <f t="shared" si="20"/>
        <v>343339.91999999981</v>
      </c>
      <c r="AU22" s="10">
        <f t="shared" si="20"/>
        <v>209931.2400000004</v>
      </c>
      <c r="AV22" s="10">
        <f t="shared" si="20"/>
        <v>267482.29000000044</v>
      </c>
      <c r="AW22" s="10">
        <f t="shared" si="20"/>
        <v>89689.60000000002</v>
      </c>
      <c r="AX22" s="10">
        <f t="shared" si="20"/>
        <v>310557.06000000011</v>
      </c>
      <c r="AY22" s="10">
        <f t="shared" si="20"/>
        <v>286707.33999999968</v>
      </c>
      <c r="AZ22" s="10">
        <f t="shared" si="20"/>
        <v>214689.82999999967</v>
      </c>
      <c r="BA22" s="10">
        <f t="shared" si="20"/>
        <v>174190.90999999992</v>
      </c>
      <c r="BB22" s="10">
        <f t="shared" si="20"/>
        <v>-55407.070000000123</v>
      </c>
      <c r="BC22" s="10">
        <f t="shared" si="20"/>
        <v>85230.010000000213</v>
      </c>
      <c r="BD22" s="10">
        <f t="shared" si="20"/>
        <v>35305.559999999823</v>
      </c>
      <c r="BE22" s="10">
        <f t="shared" si="20"/>
        <v>-87167.239999999962</v>
      </c>
      <c r="BF22" s="10">
        <f t="shared" si="20"/>
        <v>-80906.429999999935</v>
      </c>
      <c r="BG22" s="10">
        <f t="shared" si="20"/>
        <v>-81596.969999999972</v>
      </c>
      <c r="BH22" s="10">
        <f t="shared" si="20"/>
        <v>-64762.509999999776</v>
      </c>
      <c r="BI22" s="10">
        <f t="shared" si="20"/>
        <v>-56308.149999999907</v>
      </c>
      <c r="BJ22" s="10">
        <f t="shared" si="20"/>
        <v>93718.310000000492</v>
      </c>
      <c r="BK22" s="10">
        <f t="shared" si="20"/>
        <v>140897.50999999975</v>
      </c>
      <c r="BL22" s="10">
        <f t="shared" si="20"/>
        <v>-12717.800000000076</v>
      </c>
      <c r="BM22" s="10">
        <f t="shared" si="20"/>
        <v>-43921.090000000026</v>
      </c>
      <c r="BN22" s="10">
        <f t="shared" si="20"/>
        <v>17264.610000000219</v>
      </c>
      <c r="BO22" s="10">
        <f t="shared" ref="BO22:CS22" si="21">BO20+BO11</f>
        <v>161.09000000025844</v>
      </c>
      <c r="BP22" s="10">
        <f t="shared" si="21"/>
        <v>-79819.10000000018</v>
      </c>
      <c r="BQ22" s="10">
        <f t="shared" si="21"/>
        <v>-63879.160000000105</v>
      </c>
      <c r="BR22" s="10">
        <f t="shared" si="21"/>
        <v>68569.020000000077</v>
      </c>
      <c r="BS22" s="10">
        <f t="shared" si="21"/>
        <v>2492.9299999998912</v>
      </c>
      <c r="BT22" s="10">
        <f t="shared" si="21"/>
        <v>60153.249999999854</v>
      </c>
      <c r="BU22" s="10">
        <f t="shared" si="21"/>
        <v>92610.859999999957</v>
      </c>
      <c r="BV22" s="10">
        <f t="shared" si="21"/>
        <v>152429.02000000014</v>
      </c>
      <c r="BW22" s="10">
        <f t="shared" si="21"/>
        <v>96283.310000000114</v>
      </c>
      <c r="BX22" s="10">
        <f t="shared" si="21"/>
        <v>87972.299999999974</v>
      </c>
      <c r="BY22" s="10">
        <f t="shared" si="21"/>
        <v>32920.82000000008</v>
      </c>
      <c r="BZ22" s="10">
        <f t="shared" ref="BZ22" si="22">BZ20+BZ11</f>
        <v>-8031.0299999999843</v>
      </c>
      <c r="CA22" s="23"/>
      <c r="CB22" s="10"/>
      <c r="CC22" s="10"/>
      <c r="CD22" s="10"/>
      <c r="CE22" s="10"/>
      <c r="CF22" s="10"/>
      <c r="CG22" s="10"/>
      <c r="CH22" s="10">
        <f t="shared" si="21"/>
        <v>54925.969999999972</v>
      </c>
      <c r="CI22" s="10">
        <f t="shared" si="21"/>
        <v>67415.969999999972</v>
      </c>
      <c r="CJ22" s="10">
        <f t="shared" si="21"/>
        <v>65125.969999999972</v>
      </c>
      <c r="CK22" s="10">
        <f t="shared" si="21"/>
        <v>68883.969999999972</v>
      </c>
      <c r="CL22" s="10">
        <f t="shared" si="21"/>
        <v>67257.969999999972</v>
      </c>
      <c r="CM22" s="10">
        <f t="shared" si="21"/>
        <v>163523.5209268294</v>
      </c>
      <c r="CN22" s="10">
        <f t="shared" si="21"/>
        <v>163523.5209268294</v>
      </c>
      <c r="CO22" s="10">
        <f t="shared" si="21"/>
        <v>163523.5209268294</v>
      </c>
      <c r="CP22" s="10">
        <f t="shared" si="21"/>
        <v>163523.5209268294</v>
      </c>
      <c r="CQ22" s="10">
        <f t="shared" si="21"/>
        <v>163523.5209268294</v>
      </c>
      <c r="CR22" s="10">
        <f t="shared" si="21"/>
        <v>163523.5209268294</v>
      </c>
      <c r="CS22" s="10">
        <f t="shared" si="21"/>
        <v>163523.5209268294</v>
      </c>
    </row>
    <row r="23" spans="1:97" x14ac:dyDescent="0.3">
      <c r="A23" s="4" t="s">
        <v>28</v>
      </c>
      <c r="B23" s="11">
        <f>B22/B4</f>
        <v>0.26159951140141902</v>
      </c>
      <c r="C23" s="11">
        <f t="shared" ref="C23:BN23" si="23">C22/C4</f>
        <v>0.26581294698801955</v>
      </c>
      <c r="D23" s="11">
        <f t="shared" si="23"/>
        <v>0.25182561323428659</v>
      </c>
      <c r="E23" s="11">
        <f t="shared" si="23"/>
        <v>0.24464392634132681</v>
      </c>
      <c r="F23" s="11">
        <f t="shared" si="23"/>
        <v>0.25530007225175994</v>
      </c>
      <c r="G23" s="11">
        <f t="shared" si="23"/>
        <v>0.22042166012275513</v>
      </c>
      <c r="H23" s="11">
        <f t="shared" si="23"/>
        <v>0.23755085523491803</v>
      </c>
      <c r="I23" s="11">
        <f t="shared" si="23"/>
        <v>0.18392790199522083</v>
      </c>
      <c r="J23" s="11">
        <f t="shared" si="23"/>
        <v>0.21550288949505472</v>
      </c>
      <c r="K23" s="11">
        <f t="shared" si="23"/>
        <v>0.23577977381093726</v>
      </c>
      <c r="L23" s="11">
        <f t="shared" si="23"/>
        <v>0.18544069745270461</v>
      </c>
      <c r="M23" s="11">
        <f t="shared" si="23"/>
        <v>7.8294815505619383E-2</v>
      </c>
      <c r="N23" s="11">
        <f t="shared" si="23"/>
        <v>0.18350544144499614</v>
      </c>
      <c r="O23" s="11">
        <f t="shared" si="23"/>
        <v>0.22435084949968245</v>
      </c>
      <c r="P23" s="11">
        <f t="shared" si="23"/>
        <v>0.27664616032287886</v>
      </c>
      <c r="Q23" s="11">
        <f t="shared" si="23"/>
        <v>0.24648608460759</v>
      </c>
      <c r="R23" s="11">
        <f t="shared" si="23"/>
        <v>0.2511754917918621</v>
      </c>
      <c r="S23" s="11">
        <f t="shared" si="23"/>
        <v>0.43053391845168953</v>
      </c>
      <c r="T23" s="11">
        <f t="shared" si="23"/>
        <v>0.30438761135568992</v>
      </c>
      <c r="U23" s="11">
        <f t="shared" si="23"/>
        <v>0.31746805957035812</v>
      </c>
      <c r="V23" s="11">
        <f t="shared" si="23"/>
        <v>0.26919508651700275</v>
      </c>
      <c r="W23" s="11">
        <f t="shared" si="23"/>
        <v>0.23848470729928409</v>
      </c>
      <c r="X23" s="11">
        <f t="shared" si="23"/>
        <v>0.30447505251961693</v>
      </c>
      <c r="Y23" s="11">
        <f t="shared" si="23"/>
        <v>0.4016487206940702</v>
      </c>
      <c r="Z23" s="11">
        <f t="shared" si="23"/>
        <v>0.26317612145863006</v>
      </c>
      <c r="AA23" s="11">
        <f t="shared" si="23"/>
        <v>0.29185773573372237</v>
      </c>
      <c r="AB23" s="11">
        <f t="shared" si="23"/>
        <v>0.29798285843729422</v>
      </c>
      <c r="AC23" s="11">
        <f t="shared" si="23"/>
        <v>0.27111724444350649</v>
      </c>
      <c r="AD23" s="11">
        <f t="shared" si="23"/>
        <v>0.28697028341684261</v>
      </c>
      <c r="AE23" s="11">
        <f t="shared" si="23"/>
        <v>0.2644232480473393</v>
      </c>
      <c r="AF23" s="11">
        <f t="shared" si="23"/>
        <v>0.24422864189908985</v>
      </c>
      <c r="AG23" s="11">
        <f t="shared" si="23"/>
        <v>0.23458405153345607</v>
      </c>
      <c r="AH23" s="11">
        <f t="shared" si="23"/>
        <v>0.22535925642409405</v>
      </c>
      <c r="AI23" s="11">
        <f t="shared" si="23"/>
        <v>0.23515796611381654</v>
      </c>
      <c r="AJ23" s="11">
        <f t="shared" si="23"/>
        <v>0.24406563902159226</v>
      </c>
      <c r="AK23" s="11">
        <f t="shared" si="23"/>
        <v>0.27053972495856515</v>
      </c>
      <c r="AL23" s="11">
        <f t="shared" si="23"/>
        <v>0.25188754677348685</v>
      </c>
      <c r="AM23" s="11">
        <f t="shared" si="23"/>
        <v>0.25027832275095729</v>
      </c>
      <c r="AN23" s="11">
        <f t="shared" si="23"/>
        <v>0.26062314413436127</v>
      </c>
      <c r="AO23" s="11">
        <f t="shared" si="23"/>
        <v>0.23465701766949154</v>
      </c>
      <c r="AP23" s="11">
        <f t="shared" si="23"/>
        <v>0.26001893717700436</v>
      </c>
      <c r="AQ23" s="11">
        <f t="shared" si="23"/>
        <v>0.24069465952228478</v>
      </c>
      <c r="AR23" s="11">
        <f t="shared" si="23"/>
        <v>0.19012157271224328</v>
      </c>
      <c r="AS23" s="11">
        <f t="shared" si="23"/>
        <v>0.14500748883288225</v>
      </c>
      <c r="AT23" s="11">
        <f t="shared" si="23"/>
        <v>0.18568452757110845</v>
      </c>
      <c r="AU23" s="11">
        <f t="shared" si="23"/>
        <v>0.13370388403189884</v>
      </c>
      <c r="AV23" s="11">
        <f t="shared" si="23"/>
        <v>0.1345013398477527</v>
      </c>
      <c r="AW23" s="11">
        <f t="shared" si="23"/>
        <v>7.5531994064568564E-2</v>
      </c>
      <c r="AX23" s="11">
        <f t="shared" si="23"/>
        <v>0.15448039007185091</v>
      </c>
      <c r="AY23" s="11">
        <f t="shared" si="23"/>
        <v>0.16418162539919878</v>
      </c>
      <c r="AZ23" s="11">
        <f t="shared" si="23"/>
        <v>0.13145196757588204</v>
      </c>
      <c r="BA23" s="11">
        <f t="shared" si="23"/>
        <v>0.106928483897682</v>
      </c>
      <c r="BB23" s="11">
        <f t="shared" si="23"/>
        <v>-5.402300124824997E-2</v>
      </c>
      <c r="BC23" s="11">
        <f t="shared" si="23"/>
        <v>5.4658249925642666E-2</v>
      </c>
      <c r="BD23" s="11">
        <f t="shared" si="23"/>
        <v>2.5279725879750452E-2</v>
      </c>
      <c r="BE23" s="11">
        <f t="shared" si="23"/>
        <v>-6.594455558445661E-2</v>
      </c>
      <c r="BF23" s="11">
        <f t="shared" si="23"/>
        <v>-9.7570779562820606E-2</v>
      </c>
      <c r="BG23" s="11">
        <f t="shared" si="23"/>
        <v>-9.0367925407190144E-2</v>
      </c>
      <c r="BH23" s="11">
        <f t="shared" si="23"/>
        <v>-6.3444808281158241E-2</v>
      </c>
      <c r="BI23" s="11">
        <f t="shared" si="23"/>
        <v>-8.1421979578389911E-2</v>
      </c>
      <c r="BJ23" s="11">
        <f t="shared" si="23"/>
        <v>6.1854219528794788E-2</v>
      </c>
      <c r="BK23" s="11">
        <f t="shared" si="23"/>
        <v>0.10078411642866979</v>
      </c>
      <c r="BL23" s="11">
        <f t="shared" si="23"/>
        <v>-1.2142576754121592E-2</v>
      </c>
      <c r="BM23" s="11">
        <f t="shared" si="23"/>
        <v>-4.4966476951474682E-2</v>
      </c>
      <c r="BN23" s="11">
        <f t="shared" si="23"/>
        <v>1.6690532137120462E-2</v>
      </c>
      <c r="BO23" s="11">
        <f t="shared" ref="BO23:CS23" si="24">BO22/BO4</f>
        <v>1.8232976168197209E-4</v>
      </c>
      <c r="BP23" s="11">
        <f t="shared" si="24"/>
        <v>-9.7520502872305861E-2</v>
      </c>
      <c r="BQ23" s="11">
        <f t="shared" si="24"/>
        <v>-7.7404831489416986E-2</v>
      </c>
      <c r="BR23" s="11">
        <f t="shared" si="24"/>
        <v>5.3376439673334067E-2</v>
      </c>
      <c r="BS23" s="11">
        <f t="shared" si="24"/>
        <v>2.593033945826839E-3</v>
      </c>
      <c r="BT23" s="11">
        <f t="shared" si="24"/>
        <v>5.0854933457991379E-2</v>
      </c>
      <c r="BU23" s="11">
        <f t="shared" si="24"/>
        <v>8.0140336098923695E-2</v>
      </c>
      <c r="BV23" s="11">
        <f t="shared" si="24"/>
        <v>9.5710703794345126E-2</v>
      </c>
      <c r="BW23" s="11">
        <f t="shared" si="24"/>
        <v>8.7344061103761028E-2</v>
      </c>
      <c r="BX23" s="11">
        <f t="shared" si="24"/>
        <v>7.9656877170586338E-2</v>
      </c>
      <c r="BY23" s="11">
        <f t="shared" si="24"/>
        <v>3.9208615952585714E-2</v>
      </c>
      <c r="BZ23" s="11">
        <f t="shared" ref="BZ23" si="25">BZ22/BZ4</f>
        <v>-7.9535705738596942E-3</v>
      </c>
      <c r="CA23" s="24"/>
      <c r="CB23" s="11"/>
      <c r="CC23" s="11"/>
      <c r="CD23" s="11"/>
      <c r="CE23" s="11"/>
      <c r="CF23" s="11"/>
      <c r="CG23" s="11"/>
      <c r="CH23" s="11">
        <f t="shared" si="24"/>
        <v>4.4384622222222198E-2</v>
      </c>
      <c r="CI23" s="11">
        <f t="shared" si="24"/>
        <v>5.2219961270333057E-2</v>
      </c>
      <c r="CJ23" s="11">
        <f t="shared" si="24"/>
        <v>5.0681688715953285E-2</v>
      </c>
      <c r="CK23" s="11">
        <f t="shared" si="24"/>
        <v>5.3765196690602542E-2</v>
      </c>
      <c r="CL23" s="11">
        <f t="shared" si="24"/>
        <v>5.3707554100455142E-2</v>
      </c>
      <c r="CM23" s="11">
        <f t="shared" si="24"/>
        <v>0.1375302951445159</v>
      </c>
      <c r="CN23" s="11">
        <f t="shared" si="24"/>
        <v>0.1375302951445159</v>
      </c>
      <c r="CO23" s="11">
        <f t="shared" si="24"/>
        <v>0.1375302951445159</v>
      </c>
      <c r="CP23" s="11">
        <f t="shared" si="24"/>
        <v>0.1375302951445159</v>
      </c>
      <c r="CQ23" s="11">
        <f t="shared" si="24"/>
        <v>0.1375302951445159</v>
      </c>
      <c r="CR23" s="11">
        <f t="shared" si="24"/>
        <v>0.1375302951445159</v>
      </c>
      <c r="CS23" s="11">
        <f t="shared" si="24"/>
        <v>0.1375302951445159</v>
      </c>
    </row>
    <row r="24" spans="1:97" x14ac:dyDescent="0.3">
      <c r="A24" s="4"/>
    </row>
    <row r="25" spans="1:97" x14ac:dyDescent="0.3">
      <c r="A25" s="4" t="s">
        <v>29</v>
      </c>
      <c r="B25" s="12">
        <v>65720.919999999984</v>
      </c>
      <c r="C25" s="12">
        <v>72068.45</v>
      </c>
      <c r="D25" s="12">
        <v>61442.549999999996</v>
      </c>
      <c r="E25" s="12">
        <v>59173.45</v>
      </c>
      <c r="F25" s="12">
        <v>56408.249999999993</v>
      </c>
      <c r="G25" s="12">
        <v>60860.65</v>
      </c>
      <c r="H25" s="12">
        <v>49176.1</v>
      </c>
      <c r="I25" s="12">
        <v>54533.439999999995</v>
      </c>
      <c r="J25" s="12">
        <v>58081.76999999999</v>
      </c>
      <c r="K25" s="12">
        <v>57691.569999999992</v>
      </c>
      <c r="L25" s="12">
        <v>55018.839999999989</v>
      </c>
      <c r="M25" s="12">
        <v>21119.010000000002</v>
      </c>
      <c r="N25" s="12">
        <v>60490.66</v>
      </c>
      <c r="O25" s="12">
        <v>56838.66</v>
      </c>
      <c r="P25" s="12">
        <v>50630.489999999991</v>
      </c>
      <c r="Q25" s="12">
        <v>44015.239999999991</v>
      </c>
      <c r="R25" s="12">
        <v>48864.049999999996</v>
      </c>
      <c r="S25" s="12">
        <v>48931.69999999999</v>
      </c>
      <c r="T25" s="12">
        <v>47203.819999999992</v>
      </c>
      <c r="U25" s="12">
        <v>80344.789999999994</v>
      </c>
      <c r="V25" s="12">
        <v>89934.409999999989</v>
      </c>
      <c r="W25" s="12">
        <v>83765.779999999984</v>
      </c>
      <c r="X25" s="12">
        <v>86056.62</v>
      </c>
      <c r="Y25" s="12">
        <v>43187.950000000004</v>
      </c>
      <c r="Z25" s="12">
        <v>62453.489999999991</v>
      </c>
      <c r="AA25" s="12">
        <v>100700.48999999999</v>
      </c>
      <c r="AB25" s="12">
        <v>62141.489999999991</v>
      </c>
      <c r="AC25" s="12">
        <v>60814.489999999991</v>
      </c>
      <c r="AD25" s="12">
        <v>60824.489999999991</v>
      </c>
      <c r="AE25" s="12">
        <v>62613.819999999992</v>
      </c>
      <c r="AF25" s="12">
        <v>62712.87999999999</v>
      </c>
      <c r="AG25" s="12">
        <v>62352.789999999994</v>
      </c>
      <c r="AH25" s="12">
        <v>62525.45</v>
      </c>
      <c r="AI25" s="12">
        <v>60983.789999999994</v>
      </c>
      <c r="AJ25" s="12">
        <v>59141.789999999994</v>
      </c>
      <c r="AK25" s="12">
        <v>-23584.050000000003</v>
      </c>
      <c r="AL25" s="12">
        <v>60043.489999999991</v>
      </c>
      <c r="AM25" s="12">
        <v>60612.919999999991</v>
      </c>
      <c r="AN25" s="12">
        <v>62459.819999999992</v>
      </c>
      <c r="AO25" s="12">
        <v>54223.489999999991</v>
      </c>
      <c r="AP25" s="12">
        <v>60964.719999999994</v>
      </c>
      <c r="AQ25" s="12">
        <v>59794.489999999991</v>
      </c>
      <c r="AR25" s="12">
        <v>59955.489999999991</v>
      </c>
      <c r="AS25" s="12">
        <v>56154.159999999989</v>
      </c>
      <c r="AT25" s="12">
        <v>60394.489999999991</v>
      </c>
      <c r="AU25" s="12">
        <v>58456.49</v>
      </c>
      <c r="AV25" s="12">
        <v>60961.82</v>
      </c>
      <c r="AW25" s="12">
        <v>46973.58</v>
      </c>
      <c r="AX25" s="12">
        <v>60562.32</v>
      </c>
      <c r="AY25" s="12">
        <v>68761.53</v>
      </c>
      <c r="AZ25" s="12">
        <v>73096.429999999993</v>
      </c>
      <c r="BA25" s="12">
        <v>69117.31</v>
      </c>
      <c r="BB25" s="12">
        <v>74095.31</v>
      </c>
      <c r="BC25" s="12">
        <v>68098.97</v>
      </c>
      <c r="BD25" s="12">
        <v>67632.13</v>
      </c>
      <c r="BE25" s="12">
        <v>63663.729999999996</v>
      </c>
      <c r="BF25" s="12">
        <v>62580.15</v>
      </c>
      <c r="BG25" s="12">
        <v>62215.63</v>
      </c>
      <c r="BH25" s="12">
        <v>62205.63</v>
      </c>
      <c r="BI25" s="12">
        <v>66370.02</v>
      </c>
      <c r="BJ25" s="12">
        <v>55558.669999999991</v>
      </c>
      <c r="BK25" s="12">
        <v>56810.57</v>
      </c>
      <c r="BL25" s="12">
        <v>53067.03</v>
      </c>
      <c r="BM25" s="12">
        <v>52944.03</v>
      </c>
      <c r="BN25" s="12">
        <v>54988.98</v>
      </c>
      <c r="BO25" s="12">
        <v>49473.27</v>
      </c>
      <c r="BP25" s="12">
        <v>49485.27</v>
      </c>
      <c r="BQ25" s="12">
        <v>50317.93</v>
      </c>
      <c r="BR25" s="12">
        <v>52529.51</v>
      </c>
      <c r="BS25" s="12">
        <v>50274.18</v>
      </c>
      <c r="BT25" s="12">
        <v>60850.47</v>
      </c>
      <c r="BU25" s="12">
        <v>61837.109999999993</v>
      </c>
      <c r="BV25" s="12">
        <v>66417.990000000005</v>
      </c>
      <c r="BW25" s="12">
        <v>63246.320000000007</v>
      </c>
      <c r="BX25" s="12">
        <v>62228.650000000009</v>
      </c>
      <c r="BY25" s="12">
        <v>63377.320000000007</v>
      </c>
      <c r="BZ25" s="12">
        <v>63211.990000000005</v>
      </c>
      <c r="CA25" s="20"/>
      <c r="CB25" s="12"/>
      <c r="CC25" s="12"/>
      <c r="CD25" s="12"/>
      <c r="CE25" s="12"/>
      <c r="CF25" s="12"/>
      <c r="CG25" s="12"/>
      <c r="CH25" s="12">
        <v>0</v>
      </c>
      <c r="CI25" s="12">
        <v>0</v>
      </c>
      <c r="CJ25" s="12">
        <v>0</v>
      </c>
      <c r="CK25" s="12">
        <v>0</v>
      </c>
      <c r="CL25" s="12">
        <v>0</v>
      </c>
      <c r="CM25" s="12">
        <v>0</v>
      </c>
      <c r="CN25" s="12">
        <v>0</v>
      </c>
      <c r="CO25" s="12">
        <v>0</v>
      </c>
      <c r="CP25" s="12">
        <v>0</v>
      </c>
      <c r="CQ25" s="12">
        <v>0</v>
      </c>
      <c r="CR25" s="12">
        <v>0</v>
      </c>
      <c r="CS25" s="12">
        <v>0</v>
      </c>
    </row>
    <row r="26" spans="1:97" x14ac:dyDescent="0.3">
      <c r="A26" s="4" t="s">
        <v>30</v>
      </c>
      <c r="B26" s="12">
        <v>21356</v>
      </c>
      <c r="C26" s="12">
        <v>21515</v>
      </c>
      <c r="D26" s="12">
        <v>25008</v>
      </c>
      <c r="E26" s="12">
        <v>24668</v>
      </c>
      <c r="F26" s="12">
        <v>27732</v>
      </c>
      <c r="G26" s="12">
        <v>23983</v>
      </c>
      <c r="H26" s="12">
        <v>22625</v>
      </c>
      <c r="I26" s="12">
        <v>19168</v>
      </c>
      <c r="J26" s="12">
        <v>15819</v>
      </c>
      <c r="K26" s="12">
        <v>19069</v>
      </c>
      <c r="L26" s="12">
        <v>18505</v>
      </c>
      <c r="M26" s="12">
        <v>-16095</v>
      </c>
      <c r="N26" s="12">
        <v>20616</v>
      </c>
      <c r="O26" s="12">
        <v>24320</v>
      </c>
      <c r="P26" s="12">
        <v>25357</v>
      </c>
      <c r="Q26" s="12">
        <v>17248</v>
      </c>
      <c r="R26" s="12">
        <v>13491</v>
      </c>
      <c r="S26" s="12">
        <v>12605</v>
      </c>
      <c r="T26" s="12">
        <v>16376</v>
      </c>
      <c r="U26" s="12">
        <v>21399</v>
      </c>
      <c r="V26" s="12">
        <v>18539</v>
      </c>
      <c r="W26" s="12">
        <v>17861</v>
      </c>
      <c r="X26" s="12">
        <v>20280</v>
      </c>
      <c r="Y26" s="12">
        <v>-11475</v>
      </c>
      <c r="Z26" s="12">
        <v>22697</v>
      </c>
      <c r="AA26" s="12">
        <v>25562</v>
      </c>
      <c r="AB26" s="12">
        <v>30475</v>
      </c>
      <c r="AC26" s="12">
        <v>31749</v>
      </c>
      <c r="AD26" s="12">
        <v>31804</v>
      </c>
      <c r="AE26" s="12">
        <v>30497</v>
      </c>
      <c r="AF26" s="12">
        <v>33005</v>
      </c>
      <c r="AG26" s="12">
        <v>35180</v>
      </c>
      <c r="AH26" s="12">
        <v>34512</v>
      </c>
      <c r="AI26" s="12">
        <v>36805</v>
      </c>
      <c r="AJ26" s="12">
        <v>44740</v>
      </c>
      <c r="AK26" s="12">
        <v>23856</v>
      </c>
      <c r="AL26" s="12">
        <v>34818</v>
      </c>
      <c r="AM26" s="12">
        <v>27771</v>
      </c>
      <c r="AN26" s="12">
        <v>40568</v>
      </c>
      <c r="AO26" s="12">
        <v>33496</v>
      </c>
      <c r="AP26" s="12">
        <v>28864</v>
      </c>
      <c r="AQ26" s="12">
        <v>40279</v>
      </c>
      <c r="AR26" s="12">
        <v>30811</v>
      </c>
      <c r="AS26" s="12">
        <v>27002</v>
      </c>
      <c r="AT26" s="12">
        <v>22678</v>
      </c>
      <c r="AU26" s="12">
        <v>15112</v>
      </c>
      <c r="AV26" s="12">
        <v>13496</v>
      </c>
      <c r="AW26" s="12">
        <v>-15492</v>
      </c>
      <c r="AX26" s="12">
        <v>32869</v>
      </c>
      <c r="AY26" s="12">
        <v>37284</v>
      </c>
      <c r="AZ26" s="12">
        <v>31241</v>
      </c>
      <c r="BA26" s="12">
        <v>28656</v>
      </c>
      <c r="BB26" s="12">
        <v>18430</v>
      </c>
      <c r="BC26" s="12">
        <v>26616</v>
      </c>
      <c r="BD26" s="12">
        <v>28705</v>
      </c>
      <c r="BE26" s="12">
        <v>25559</v>
      </c>
      <c r="BF26" s="12">
        <v>13996</v>
      </c>
      <c r="BG26" s="12">
        <v>4388</v>
      </c>
      <c r="BH26" s="12">
        <v>9906</v>
      </c>
      <c r="BI26" s="12">
        <v>10363</v>
      </c>
      <c r="BJ26" s="12">
        <v>23950</v>
      </c>
      <c r="BK26" s="12">
        <v>27366</v>
      </c>
      <c r="BL26" s="12">
        <v>22553</v>
      </c>
      <c r="BM26" s="12">
        <v>21220</v>
      </c>
      <c r="BN26" s="12">
        <v>23117</v>
      </c>
      <c r="BO26" s="12">
        <v>18353</v>
      </c>
      <c r="BP26" s="12">
        <v>17432</v>
      </c>
      <c r="BQ26" s="12">
        <v>18911</v>
      </c>
      <c r="BR26" s="12">
        <v>21992</v>
      </c>
      <c r="BS26" s="12">
        <v>17183</v>
      </c>
      <c r="BT26" s="12">
        <v>22654</v>
      </c>
      <c r="BU26" s="12">
        <v>31206</v>
      </c>
      <c r="BV26" s="12">
        <v>32582</v>
      </c>
      <c r="BW26" s="12">
        <v>28933</v>
      </c>
      <c r="BX26" s="12">
        <v>26429</v>
      </c>
      <c r="BY26" s="12">
        <v>21461</v>
      </c>
      <c r="BZ26" s="12">
        <v>21865</v>
      </c>
      <c r="CA26" s="20"/>
      <c r="CB26" s="12"/>
      <c r="CC26" s="12"/>
      <c r="CD26" s="12"/>
      <c r="CE26" s="12"/>
      <c r="CF26" s="12"/>
      <c r="CG26" s="12"/>
      <c r="CH26" s="12">
        <v>0</v>
      </c>
      <c r="CI26" s="12">
        <v>0</v>
      </c>
      <c r="CJ26" s="12">
        <v>0</v>
      </c>
      <c r="CK26" s="12">
        <v>0</v>
      </c>
      <c r="CL26" s="12">
        <v>0</v>
      </c>
      <c r="CM26" s="12">
        <v>0</v>
      </c>
      <c r="CN26" s="12">
        <v>0</v>
      </c>
      <c r="CO26" s="12">
        <v>0</v>
      </c>
      <c r="CP26" s="12">
        <v>0</v>
      </c>
      <c r="CQ26" s="12">
        <v>0</v>
      </c>
      <c r="CR26" s="12">
        <v>0</v>
      </c>
      <c r="CS26" s="12">
        <v>0</v>
      </c>
    </row>
    <row r="27" spans="1:97" x14ac:dyDescent="0.3">
      <c r="A27" s="4" t="s">
        <v>31</v>
      </c>
      <c r="B27" s="12">
        <v>0</v>
      </c>
      <c r="C27" s="12">
        <v>0</v>
      </c>
      <c r="D27" s="12">
        <v>0</v>
      </c>
      <c r="E27" s="12">
        <v>0</v>
      </c>
      <c r="F27" s="12">
        <v>0</v>
      </c>
      <c r="G27" s="12">
        <v>0</v>
      </c>
      <c r="H27" s="12">
        <v>0</v>
      </c>
      <c r="I27" s="12">
        <v>0</v>
      </c>
      <c r="J27" s="12">
        <v>0</v>
      </c>
      <c r="K27" s="12">
        <v>0</v>
      </c>
      <c r="L27" s="12">
        <v>0</v>
      </c>
      <c r="M27" s="12">
        <v>0</v>
      </c>
      <c r="N27" s="12">
        <v>0</v>
      </c>
      <c r="O27" s="12">
        <v>0</v>
      </c>
      <c r="P27" s="12">
        <v>0</v>
      </c>
      <c r="Q27" s="12">
        <v>0</v>
      </c>
      <c r="R27" s="12">
        <v>0</v>
      </c>
      <c r="S27" s="12">
        <v>0</v>
      </c>
      <c r="T27" s="12">
        <v>0</v>
      </c>
      <c r="U27" s="12">
        <v>0</v>
      </c>
      <c r="V27" s="12">
        <v>0</v>
      </c>
      <c r="W27" s="12">
        <v>0</v>
      </c>
      <c r="X27" s="12">
        <v>0</v>
      </c>
      <c r="Y27" s="12">
        <v>1</v>
      </c>
      <c r="Z27" s="12">
        <v>0</v>
      </c>
      <c r="AA27" s="12">
        <v>0</v>
      </c>
      <c r="AB27" s="12">
        <v>0</v>
      </c>
      <c r="AC27" s="12">
        <v>0</v>
      </c>
      <c r="AD27" s="12">
        <v>0</v>
      </c>
      <c r="AE27" s="12">
        <v>0</v>
      </c>
      <c r="AF27" s="12">
        <v>0</v>
      </c>
      <c r="AG27" s="12">
        <v>0</v>
      </c>
      <c r="AH27" s="12">
        <v>0</v>
      </c>
      <c r="AI27" s="12">
        <v>1</v>
      </c>
      <c r="AJ27" s="12">
        <v>2</v>
      </c>
      <c r="AK27" s="12">
        <v>3</v>
      </c>
      <c r="AL27" s="12">
        <v>0</v>
      </c>
      <c r="AM27" s="12">
        <v>0</v>
      </c>
      <c r="AN27" s="12">
        <v>0</v>
      </c>
      <c r="AO27" s="12">
        <v>1</v>
      </c>
      <c r="AP27" s="12">
        <v>0</v>
      </c>
      <c r="AQ27" s="12">
        <v>0</v>
      </c>
      <c r="AR27" s="12">
        <v>0</v>
      </c>
      <c r="AS27" s="12">
        <v>0</v>
      </c>
      <c r="AT27" s="12">
        <v>0</v>
      </c>
      <c r="AU27" s="12">
        <v>1</v>
      </c>
      <c r="AV27" s="12">
        <v>2</v>
      </c>
      <c r="AW27" s="12">
        <v>3</v>
      </c>
      <c r="AX27" s="12">
        <v>0</v>
      </c>
      <c r="AY27" s="12">
        <v>0</v>
      </c>
      <c r="AZ27" s="12">
        <v>0</v>
      </c>
      <c r="BA27" s="12">
        <v>1</v>
      </c>
      <c r="BB27" s="12">
        <v>0</v>
      </c>
      <c r="BC27" s="12">
        <v>0</v>
      </c>
      <c r="BD27" s="12">
        <v>0</v>
      </c>
      <c r="BE27" s="12">
        <v>0</v>
      </c>
      <c r="BF27" s="12">
        <v>0</v>
      </c>
      <c r="BG27" s="12">
        <v>1</v>
      </c>
      <c r="BH27" s="12">
        <v>2</v>
      </c>
      <c r="BI27" s="12">
        <v>3</v>
      </c>
      <c r="BJ27" s="12">
        <v>0</v>
      </c>
      <c r="BK27" s="12">
        <v>0</v>
      </c>
      <c r="BL27" s="12">
        <v>0</v>
      </c>
      <c r="BM27" s="12">
        <v>0</v>
      </c>
      <c r="BN27" s="12">
        <v>0</v>
      </c>
      <c r="BO27" s="12">
        <v>0</v>
      </c>
      <c r="BP27" s="12">
        <v>0</v>
      </c>
      <c r="BQ27" s="12">
        <v>0</v>
      </c>
      <c r="BR27" s="12">
        <v>0</v>
      </c>
      <c r="BS27" s="12">
        <v>0</v>
      </c>
      <c r="BT27" s="12">
        <v>0</v>
      </c>
      <c r="BU27" s="12">
        <v>0</v>
      </c>
      <c r="BV27" s="12">
        <v>0</v>
      </c>
      <c r="BW27" s="12">
        <v>0</v>
      </c>
      <c r="BX27" s="12">
        <v>0</v>
      </c>
      <c r="BY27" s="12">
        <v>0</v>
      </c>
      <c r="BZ27" s="12">
        <v>0</v>
      </c>
      <c r="CA27" s="20"/>
      <c r="CB27" s="12"/>
      <c r="CC27" s="12"/>
      <c r="CD27" s="12"/>
      <c r="CE27" s="12"/>
      <c r="CF27" s="12"/>
      <c r="CG27" s="12"/>
      <c r="CH27" s="12">
        <v>0</v>
      </c>
      <c r="CI27" s="12">
        <v>0</v>
      </c>
      <c r="CJ27" s="12">
        <v>0</v>
      </c>
      <c r="CK27" s="12">
        <v>0</v>
      </c>
      <c r="CL27" s="12">
        <v>0</v>
      </c>
      <c r="CM27" s="12">
        <v>0</v>
      </c>
      <c r="CN27" s="12">
        <v>0</v>
      </c>
      <c r="CO27" s="12">
        <v>0</v>
      </c>
      <c r="CP27" s="12">
        <v>0</v>
      </c>
      <c r="CQ27" s="12">
        <v>0</v>
      </c>
      <c r="CR27" s="12">
        <v>0</v>
      </c>
      <c r="CS27" s="12">
        <v>0</v>
      </c>
    </row>
    <row r="28" spans="1:97" x14ac:dyDescent="0.3">
      <c r="A28" s="4" t="s">
        <v>32</v>
      </c>
      <c r="B28" s="12">
        <v>0</v>
      </c>
      <c r="C28" s="12">
        <v>0</v>
      </c>
      <c r="D28" s="12">
        <v>1310</v>
      </c>
      <c r="E28" s="12">
        <v>0</v>
      </c>
      <c r="F28" s="12">
        <v>0</v>
      </c>
      <c r="G28" s="12">
        <v>2220</v>
      </c>
      <c r="H28" s="12">
        <v>-0.3</v>
      </c>
      <c r="I28" s="12">
        <v>0</v>
      </c>
      <c r="J28" s="12">
        <v>3603.03</v>
      </c>
      <c r="K28" s="12">
        <v>0</v>
      </c>
      <c r="L28" s="12">
        <v>0</v>
      </c>
      <c r="M28" s="12">
        <v>-11753.53</v>
      </c>
      <c r="N28" s="12">
        <v>1640</v>
      </c>
      <c r="O28" s="12">
        <v>0</v>
      </c>
      <c r="P28" s="12">
        <v>0</v>
      </c>
      <c r="Q28" s="12">
        <v>0</v>
      </c>
      <c r="R28" s="12">
        <v>0</v>
      </c>
      <c r="S28" s="12">
        <v>0</v>
      </c>
      <c r="T28" s="12">
        <v>0</v>
      </c>
      <c r="U28" s="12">
        <v>0</v>
      </c>
      <c r="V28" s="12">
        <v>0</v>
      </c>
      <c r="W28" s="12">
        <v>0</v>
      </c>
      <c r="X28" s="12">
        <v>0</v>
      </c>
      <c r="Y28" s="12">
        <v>0</v>
      </c>
      <c r="Z28" s="12">
        <v>0</v>
      </c>
      <c r="AA28" s="12">
        <v>0</v>
      </c>
      <c r="AB28" s="12">
        <v>0</v>
      </c>
      <c r="AC28" s="12">
        <v>0</v>
      </c>
      <c r="AD28" s="12">
        <v>0</v>
      </c>
      <c r="AE28" s="12">
        <v>0</v>
      </c>
      <c r="AF28" s="12">
        <v>0</v>
      </c>
      <c r="AG28" s="12">
        <v>0</v>
      </c>
      <c r="AH28" s="12">
        <v>0</v>
      </c>
      <c r="AI28" s="12">
        <v>0</v>
      </c>
      <c r="AJ28" s="12">
        <v>523.04999999999995</v>
      </c>
      <c r="AK28" s="12">
        <v>0</v>
      </c>
      <c r="AL28" s="12">
        <v>0</v>
      </c>
      <c r="AM28" s="12">
        <v>0</v>
      </c>
      <c r="AN28" s="12">
        <v>0</v>
      </c>
      <c r="AO28" s="12">
        <v>0</v>
      </c>
      <c r="AP28" s="12">
        <v>0</v>
      </c>
      <c r="AQ28" s="12">
        <v>1033.5999999999999</v>
      </c>
      <c r="AR28" s="12">
        <v>3325</v>
      </c>
      <c r="AS28" s="12">
        <v>4920</v>
      </c>
      <c r="AT28" s="12">
        <v>0</v>
      </c>
      <c r="AU28" s="12">
        <v>6112.25</v>
      </c>
      <c r="AV28" s="12">
        <v>967.5</v>
      </c>
      <c r="AW28" s="12">
        <v>2902</v>
      </c>
      <c r="AX28" s="12">
        <v>0</v>
      </c>
      <c r="AY28" s="12">
        <v>0</v>
      </c>
      <c r="AZ28" s="12">
        <v>0</v>
      </c>
      <c r="BA28" s="12">
        <v>2422.16</v>
      </c>
      <c r="BB28" s="12">
        <v>1195</v>
      </c>
      <c r="BC28" s="12">
        <v>0</v>
      </c>
      <c r="BD28" s="12">
        <v>8640.44</v>
      </c>
      <c r="BE28" s="12">
        <v>0</v>
      </c>
      <c r="BF28" s="12">
        <v>7320</v>
      </c>
      <c r="BG28" s="12">
        <v>937.75</v>
      </c>
      <c r="BH28" s="12">
        <v>0</v>
      </c>
      <c r="BI28" s="12">
        <v>2481</v>
      </c>
      <c r="BJ28" s="12">
        <v>1235</v>
      </c>
      <c r="BK28" s="12">
        <v>0</v>
      </c>
      <c r="BL28" s="12">
        <v>2643</v>
      </c>
      <c r="BM28" s="12">
        <v>0</v>
      </c>
      <c r="BN28" s="12">
        <v>1174.76</v>
      </c>
      <c r="BO28" s="12">
        <v>3660.01</v>
      </c>
      <c r="BP28" s="12">
        <v>0</v>
      </c>
      <c r="BQ28" s="12">
        <v>0</v>
      </c>
      <c r="BR28" s="12">
        <v>0</v>
      </c>
      <c r="BS28" s="12">
        <v>1633.3400000000001</v>
      </c>
      <c r="BT28" s="12">
        <v>796.33</v>
      </c>
      <c r="BU28" s="12">
        <v>796.33</v>
      </c>
      <c r="BV28" s="12">
        <v>0</v>
      </c>
      <c r="BW28" s="12">
        <v>2410</v>
      </c>
      <c r="BX28" s="12">
        <v>2773.5</v>
      </c>
      <c r="BY28" s="12">
        <v>0</v>
      </c>
      <c r="BZ28" s="12">
        <v>0</v>
      </c>
      <c r="CA28" s="20"/>
      <c r="CB28" s="12"/>
      <c r="CC28" s="12"/>
      <c r="CD28" s="12"/>
      <c r="CE28" s="12"/>
      <c r="CF28" s="12"/>
      <c r="CG28" s="12"/>
      <c r="CH28" s="12">
        <v>0</v>
      </c>
      <c r="CI28" s="12">
        <v>0</v>
      </c>
      <c r="CJ28" s="12">
        <v>0</v>
      </c>
      <c r="CK28" s="12">
        <v>0</v>
      </c>
      <c r="CL28" s="12">
        <v>0</v>
      </c>
      <c r="CM28" s="12">
        <v>0</v>
      </c>
      <c r="CN28" s="12">
        <v>0</v>
      </c>
      <c r="CO28" s="12">
        <v>0</v>
      </c>
      <c r="CP28" s="12">
        <v>0</v>
      </c>
      <c r="CQ28" s="12">
        <v>0</v>
      </c>
      <c r="CR28" s="12">
        <v>0</v>
      </c>
      <c r="CS28" s="12">
        <v>0</v>
      </c>
    </row>
    <row r="29" spans="1:97" x14ac:dyDescent="0.3">
      <c r="A29" s="4" t="s">
        <v>33</v>
      </c>
      <c r="B29" s="12">
        <v>807</v>
      </c>
      <c r="C29" s="12">
        <v>0</v>
      </c>
      <c r="D29" s="12">
        <v>0</v>
      </c>
      <c r="E29" s="12">
        <v>0</v>
      </c>
      <c r="F29" s="12">
        <v>0</v>
      </c>
      <c r="G29" s="12">
        <v>0</v>
      </c>
      <c r="H29" s="12">
        <v>0</v>
      </c>
      <c r="I29" s="12">
        <v>0</v>
      </c>
      <c r="J29" s="12">
        <v>0</v>
      </c>
      <c r="K29" s="12">
        <v>0</v>
      </c>
      <c r="L29" s="12">
        <v>0</v>
      </c>
      <c r="M29" s="12">
        <v>0</v>
      </c>
      <c r="N29" s="12">
        <v>0</v>
      </c>
      <c r="O29" s="12">
        <v>0</v>
      </c>
      <c r="P29" s="12">
        <v>0</v>
      </c>
      <c r="Q29" s="12">
        <v>0</v>
      </c>
      <c r="R29" s="12">
        <v>0</v>
      </c>
      <c r="S29" s="12">
        <v>0</v>
      </c>
      <c r="T29" s="12">
        <v>5200</v>
      </c>
      <c r="U29" s="12">
        <v>0</v>
      </c>
      <c r="V29" s="12">
        <v>0</v>
      </c>
      <c r="W29" s="12">
        <v>0</v>
      </c>
      <c r="X29" s="12">
        <v>0</v>
      </c>
      <c r="Y29" s="12">
        <v>0</v>
      </c>
      <c r="Z29" s="12">
        <v>0</v>
      </c>
      <c r="AA29" s="12">
        <v>0</v>
      </c>
      <c r="AB29" s="12">
        <v>0</v>
      </c>
      <c r="AC29" s="12">
        <v>0</v>
      </c>
      <c r="AD29" s="12">
        <v>0</v>
      </c>
      <c r="AE29" s="12">
        <v>0</v>
      </c>
      <c r="AF29" s="12">
        <v>0</v>
      </c>
      <c r="AG29" s="12">
        <v>0</v>
      </c>
      <c r="AH29" s="12">
        <v>0</v>
      </c>
      <c r="AI29" s="12">
        <v>0</v>
      </c>
      <c r="AJ29" s="12">
        <v>0</v>
      </c>
      <c r="AK29" s="12">
        <v>0</v>
      </c>
      <c r="AL29" s="12">
        <v>0</v>
      </c>
      <c r="AM29" s="12">
        <v>11.46</v>
      </c>
      <c r="AN29" s="12">
        <v>0</v>
      </c>
      <c r="AO29" s="12">
        <v>1775.12</v>
      </c>
      <c r="AP29" s="12">
        <v>90.64</v>
      </c>
      <c r="AQ29" s="12">
        <v>0</v>
      </c>
      <c r="AR29" s="12">
        <v>0</v>
      </c>
      <c r="AS29" s="12">
        <v>3000</v>
      </c>
      <c r="AT29" s="12">
        <v>319.88</v>
      </c>
      <c r="AU29" s="12">
        <v>50.15</v>
      </c>
      <c r="AV29" s="12">
        <v>2.5099999999999998</v>
      </c>
      <c r="AW29" s="12">
        <v>3000</v>
      </c>
      <c r="AX29" s="12">
        <v>0</v>
      </c>
      <c r="AY29" s="12">
        <v>0</v>
      </c>
      <c r="AZ29" s="12">
        <v>0</v>
      </c>
      <c r="BA29" s="12">
        <v>0.62</v>
      </c>
      <c r="BB29" s="12">
        <v>1.69</v>
      </c>
      <c r="BC29" s="12">
        <v>0</v>
      </c>
      <c r="BD29" s="12">
        <v>0</v>
      </c>
      <c r="BE29" s="12">
        <v>0</v>
      </c>
      <c r="BF29" s="12">
        <v>0</v>
      </c>
      <c r="BG29" s="12">
        <v>0</v>
      </c>
      <c r="BH29" s="12">
        <v>25.56</v>
      </c>
      <c r="BI29" s="12">
        <v>0</v>
      </c>
      <c r="BJ29" s="12">
        <v>0</v>
      </c>
      <c r="BK29" s="12">
        <v>0</v>
      </c>
      <c r="BL29" s="12">
        <v>0</v>
      </c>
      <c r="BM29" s="12">
        <v>0</v>
      </c>
      <c r="BN29" s="12">
        <v>260.86</v>
      </c>
      <c r="BO29" s="12">
        <v>0</v>
      </c>
      <c r="BP29" s="12">
        <v>0</v>
      </c>
      <c r="BQ29" s="12">
        <v>0</v>
      </c>
      <c r="BR29" s="12">
        <v>4.82</v>
      </c>
      <c r="BS29" s="12">
        <v>0</v>
      </c>
      <c r="BT29" s="12">
        <v>0</v>
      </c>
      <c r="BU29" s="12">
        <v>160.91999999999999</v>
      </c>
      <c r="BV29" s="12">
        <v>79</v>
      </c>
      <c r="BW29" s="12">
        <v>0</v>
      </c>
      <c r="BX29" s="12">
        <v>0</v>
      </c>
      <c r="BY29" s="12">
        <v>0</v>
      </c>
      <c r="BZ29" s="12">
        <v>0</v>
      </c>
      <c r="CA29" s="20"/>
      <c r="CB29" s="12"/>
      <c r="CC29" s="12"/>
      <c r="CD29" s="12"/>
      <c r="CE29" s="12"/>
      <c r="CF29" s="12"/>
      <c r="CG29" s="12"/>
      <c r="CH29" s="12">
        <v>0</v>
      </c>
      <c r="CI29" s="12">
        <v>0</v>
      </c>
      <c r="CJ29" s="12">
        <v>0</v>
      </c>
      <c r="CK29" s="12">
        <v>0</v>
      </c>
      <c r="CL29" s="12">
        <v>0</v>
      </c>
      <c r="CM29" s="12">
        <v>0</v>
      </c>
      <c r="CN29" s="12">
        <v>0</v>
      </c>
      <c r="CO29" s="12">
        <v>0</v>
      </c>
      <c r="CP29" s="12">
        <v>0</v>
      </c>
      <c r="CQ29" s="12">
        <v>0</v>
      </c>
      <c r="CR29" s="12">
        <v>0</v>
      </c>
      <c r="CS29" s="12">
        <v>0</v>
      </c>
    </row>
    <row r="30" spans="1:97" x14ac:dyDescent="0.3">
      <c r="A30" s="4" t="s">
        <v>34</v>
      </c>
      <c r="B30" s="12">
        <v>4244.5300000000134</v>
      </c>
      <c r="C30" s="12">
        <v>3263.3199999999924</v>
      </c>
      <c r="D30" s="12">
        <v>4053.8600000000151</v>
      </c>
      <c r="E30" s="12">
        <v>5180.1499999999942</v>
      </c>
      <c r="F30" s="12">
        <v>4052.6399999999994</v>
      </c>
      <c r="G30" s="12">
        <v>3249.3800000000047</v>
      </c>
      <c r="H30" s="12">
        <v>5173.8000000000029</v>
      </c>
      <c r="I30" s="12">
        <v>19264.030000000013</v>
      </c>
      <c r="J30" s="12">
        <v>17842.070000000022</v>
      </c>
      <c r="K30" s="12">
        <v>21029.789999999994</v>
      </c>
      <c r="L30" s="12">
        <v>22376.089999999997</v>
      </c>
      <c r="M30" s="12">
        <v>27909.03</v>
      </c>
      <c r="N30" s="12">
        <v>9531.2599999999802</v>
      </c>
      <c r="O30" s="12">
        <v>8261.2399999999907</v>
      </c>
      <c r="P30" s="12">
        <v>12818.190000000002</v>
      </c>
      <c r="Q30" s="12">
        <v>8488.2200000000012</v>
      </c>
      <c r="R30" s="12">
        <v>10146.769999999997</v>
      </c>
      <c r="S30" s="12">
        <v>9607.3400000000038</v>
      </c>
      <c r="T30" s="12">
        <v>11500.51999999999</v>
      </c>
      <c r="U30" s="12">
        <v>11608.570000000007</v>
      </c>
      <c r="V30" s="12">
        <v>10961.240000000005</v>
      </c>
      <c r="W30" s="12">
        <v>11623.669999999998</v>
      </c>
      <c r="X30" s="12">
        <v>12469.229999999996</v>
      </c>
      <c r="Y30" s="12">
        <v>5332.7900000000009</v>
      </c>
      <c r="Z30" s="12">
        <v>18048.340000000011</v>
      </c>
      <c r="AA30" s="12">
        <v>12966.110000000015</v>
      </c>
      <c r="AB30" s="12">
        <v>17909.350000000006</v>
      </c>
      <c r="AC30" s="12">
        <v>14206.380000000005</v>
      </c>
      <c r="AD30" s="12">
        <v>15092.330000000016</v>
      </c>
      <c r="AE30" s="12">
        <v>14061.470000000001</v>
      </c>
      <c r="AF30" s="12">
        <v>17428.830000000002</v>
      </c>
      <c r="AG30" s="12">
        <v>16692.990000000005</v>
      </c>
      <c r="AH30" s="12">
        <v>14219.89</v>
      </c>
      <c r="AI30" s="12">
        <v>14656.25</v>
      </c>
      <c r="AJ30" s="12">
        <v>16220.830000000002</v>
      </c>
      <c r="AK30" s="12">
        <v>7226.2299999999987</v>
      </c>
      <c r="AL30" s="12">
        <v>14505.330000000016</v>
      </c>
      <c r="AM30" s="12">
        <v>14565.130000000005</v>
      </c>
      <c r="AN30" s="12">
        <v>16026.429999999993</v>
      </c>
      <c r="AO30" s="12">
        <v>25025.319999999992</v>
      </c>
      <c r="AP30" s="12">
        <v>17305.599999999977</v>
      </c>
      <c r="AQ30" s="12">
        <v>18422.209999999992</v>
      </c>
      <c r="AR30" s="12">
        <v>18681.779999999984</v>
      </c>
      <c r="AS30" s="12">
        <v>7321.1900000000169</v>
      </c>
      <c r="AT30" s="12">
        <v>4063</v>
      </c>
      <c r="AU30" s="12">
        <v>6355.0400000000081</v>
      </c>
      <c r="AV30" s="12">
        <v>5735.7699999999895</v>
      </c>
      <c r="AW30" s="12">
        <v>1183.7599999999875</v>
      </c>
      <c r="AX30" s="12">
        <v>25261.419999999984</v>
      </c>
      <c r="AY30" s="12">
        <v>11201.01999999999</v>
      </c>
      <c r="AZ30" s="12">
        <v>10150.020000000004</v>
      </c>
      <c r="BA30" s="12">
        <v>8685.1300000000047</v>
      </c>
      <c r="BB30" s="12">
        <v>9309.2599999999948</v>
      </c>
      <c r="BC30" s="12">
        <v>12469.430000000008</v>
      </c>
      <c r="BD30" s="12">
        <v>12998.98000000001</v>
      </c>
      <c r="BE30" s="12">
        <v>11989.130000000019</v>
      </c>
      <c r="BF30" s="12">
        <v>7904.5100000000239</v>
      </c>
      <c r="BG30" s="12">
        <v>9526.3699999999953</v>
      </c>
      <c r="BH30" s="12">
        <v>11072.089999999997</v>
      </c>
      <c r="BI30" s="12">
        <v>-11531.39999999998</v>
      </c>
      <c r="BJ30" s="12">
        <v>23003.97000000003</v>
      </c>
      <c r="BK30" s="12">
        <v>8958.1999999999971</v>
      </c>
      <c r="BL30" s="12">
        <v>10653.619999999995</v>
      </c>
      <c r="BM30" s="12">
        <v>8842.8699999999953</v>
      </c>
      <c r="BN30" s="12">
        <v>10601.970000000001</v>
      </c>
      <c r="BO30" s="12">
        <v>8634.1700000000128</v>
      </c>
      <c r="BP30" s="12">
        <v>9858.64</v>
      </c>
      <c r="BQ30" s="12">
        <v>12140.840000000011</v>
      </c>
      <c r="BR30" s="12">
        <v>10939.010000000009</v>
      </c>
      <c r="BS30" s="12">
        <v>12474.620000000024</v>
      </c>
      <c r="BT30" s="12">
        <v>12098.370000000024</v>
      </c>
      <c r="BU30" s="12">
        <v>3611.2900000000081</v>
      </c>
      <c r="BV30" s="12">
        <v>20250.169999999998</v>
      </c>
      <c r="BW30" s="12">
        <v>9917.7399999999907</v>
      </c>
      <c r="BX30" s="12">
        <v>10195.380000000005</v>
      </c>
      <c r="BY30" s="12">
        <v>9591.9900000000052</v>
      </c>
      <c r="BZ30" s="12">
        <v>9734.6899999999878</v>
      </c>
      <c r="CA30" s="20"/>
      <c r="CB30" s="12"/>
      <c r="CC30" s="12"/>
      <c r="CD30" s="12"/>
      <c r="CE30" s="12"/>
      <c r="CF30" s="12"/>
      <c r="CG30" s="12"/>
      <c r="CH30" s="12">
        <v>0</v>
      </c>
      <c r="CI30" s="12">
        <v>0</v>
      </c>
      <c r="CJ30" s="12">
        <v>0</v>
      </c>
      <c r="CK30" s="12">
        <v>0</v>
      </c>
      <c r="CL30" s="12">
        <v>0</v>
      </c>
      <c r="CM30" s="12">
        <v>0</v>
      </c>
      <c r="CN30" s="12">
        <v>0</v>
      </c>
      <c r="CO30" s="12">
        <v>0</v>
      </c>
      <c r="CP30" s="12">
        <v>0</v>
      </c>
      <c r="CQ30" s="12">
        <v>0</v>
      </c>
      <c r="CR30" s="12">
        <v>0</v>
      </c>
      <c r="CS30" s="12">
        <v>0</v>
      </c>
    </row>
    <row r="31" spans="1:97" x14ac:dyDescent="0.3">
      <c r="A31" s="4"/>
    </row>
    <row r="32" spans="1:97" x14ac:dyDescent="0.3">
      <c r="A32" s="6" t="s">
        <v>11</v>
      </c>
      <c r="B32" s="13">
        <f>SUM(B25:B31)</f>
        <v>92128.45</v>
      </c>
      <c r="C32" s="13">
        <f t="shared" ref="C32:BN32" si="26">SUM(C25:C31)</f>
        <v>96846.76999999999</v>
      </c>
      <c r="D32" s="13">
        <f t="shared" si="26"/>
        <v>91814.41</v>
      </c>
      <c r="E32" s="13">
        <f t="shared" si="26"/>
        <v>89021.599999999991</v>
      </c>
      <c r="F32" s="13">
        <f t="shared" si="26"/>
        <v>88192.89</v>
      </c>
      <c r="G32" s="13">
        <f t="shared" si="26"/>
        <v>90313.03</v>
      </c>
      <c r="H32" s="13">
        <f t="shared" si="26"/>
        <v>76974.600000000006</v>
      </c>
      <c r="I32" s="13">
        <f t="shared" si="26"/>
        <v>92965.470000000016</v>
      </c>
      <c r="J32" s="13">
        <f t="shared" si="26"/>
        <v>95345.87000000001</v>
      </c>
      <c r="K32" s="13">
        <f t="shared" si="26"/>
        <v>97790.359999999986</v>
      </c>
      <c r="L32" s="13">
        <f t="shared" si="26"/>
        <v>95899.93</v>
      </c>
      <c r="M32" s="13">
        <f t="shared" si="26"/>
        <v>21179.510000000002</v>
      </c>
      <c r="N32" s="13">
        <f t="shared" si="26"/>
        <v>92277.919999999984</v>
      </c>
      <c r="O32" s="13">
        <f t="shared" si="26"/>
        <v>89419.9</v>
      </c>
      <c r="P32" s="13">
        <f t="shared" si="26"/>
        <v>88805.68</v>
      </c>
      <c r="Q32" s="13">
        <f t="shared" si="26"/>
        <v>69751.459999999992</v>
      </c>
      <c r="R32" s="13">
        <f t="shared" si="26"/>
        <v>72501.819999999992</v>
      </c>
      <c r="S32" s="13">
        <f t="shared" si="26"/>
        <v>71144.039999999994</v>
      </c>
      <c r="T32" s="13">
        <f t="shared" si="26"/>
        <v>80280.339999999982</v>
      </c>
      <c r="U32" s="13">
        <f t="shared" si="26"/>
        <v>113352.36</v>
      </c>
      <c r="V32" s="13">
        <f t="shared" si="26"/>
        <v>119434.65</v>
      </c>
      <c r="W32" s="13">
        <f t="shared" si="26"/>
        <v>113250.44999999998</v>
      </c>
      <c r="X32" s="13">
        <f t="shared" si="26"/>
        <v>118805.84999999999</v>
      </c>
      <c r="Y32" s="13">
        <f t="shared" si="26"/>
        <v>37046.740000000005</v>
      </c>
      <c r="Z32" s="13">
        <f t="shared" si="26"/>
        <v>103198.83</v>
      </c>
      <c r="AA32" s="13">
        <f t="shared" si="26"/>
        <v>139228.6</v>
      </c>
      <c r="AB32" s="13">
        <f t="shared" si="26"/>
        <v>110525.84</v>
      </c>
      <c r="AC32" s="13">
        <f t="shared" si="26"/>
        <v>106769.87</v>
      </c>
      <c r="AD32" s="13">
        <f t="shared" si="26"/>
        <v>107720.82</v>
      </c>
      <c r="AE32" s="13">
        <f t="shared" si="26"/>
        <v>107172.29</v>
      </c>
      <c r="AF32" s="13">
        <f t="shared" si="26"/>
        <v>113146.70999999999</v>
      </c>
      <c r="AG32" s="13">
        <f t="shared" si="26"/>
        <v>114225.78</v>
      </c>
      <c r="AH32" s="13">
        <f t="shared" si="26"/>
        <v>111257.34</v>
      </c>
      <c r="AI32" s="13">
        <f t="shared" si="26"/>
        <v>112446.04</v>
      </c>
      <c r="AJ32" s="13">
        <f t="shared" si="26"/>
        <v>120627.67</v>
      </c>
      <c r="AK32" s="13">
        <f t="shared" si="26"/>
        <v>7501.1799999999957</v>
      </c>
      <c r="AL32" s="13">
        <f t="shared" si="26"/>
        <v>109366.82</v>
      </c>
      <c r="AM32" s="13">
        <f t="shared" si="26"/>
        <v>102960.51</v>
      </c>
      <c r="AN32" s="13">
        <f t="shared" si="26"/>
        <v>119054.24999999999</v>
      </c>
      <c r="AO32" s="13">
        <f t="shared" si="26"/>
        <v>114520.92999999998</v>
      </c>
      <c r="AP32" s="13">
        <f t="shared" si="26"/>
        <v>107224.95999999998</v>
      </c>
      <c r="AQ32" s="13">
        <f t="shared" si="26"/>
        <v>119529.29999999999</v>
      </c>
      <c r="AR32" s="13">
        <f t="shared" si="26"/>
        <v>112773.26999999997</v>
      </c>
      <c r="AS32" s="13">
        <f t="shared" si="26"/>
        <v>98397.35</v>
      </c>
      <c r="AT32" s="13">
        <f t="shared" si="26"/>
        <v>87455.37</v>
      </c>
      <c r="AU32" s="13">
        <f t="shared" si="26"/>
        <v>86086.93</v>
      </c>
      <c r="AV32" s="13">
        <f t="shared" si="26"/>
        <v>81165.599999999991</v>
      </c>
      <c r="AW32" s="13">
        <f t="shared" si="26"/>
        <v>38570.339999999989</v>
      </c>
      <c r="AX32" s="13">
        <f t="shared" si="26"/>
        <v>118692.73999999999</v>
      </c>
      <c r="AY32" s="13">
        <f t="shared" si="26"/>
        <v>117246.54999999999</v>
      </c>
      <c r="AZ32" s="13">
        <f t="shared" si="26"/>
        <v>114487.45</v>
      </c>
      <c r="BA32" s="13">
        <f t="shared" si="26"/>
        <v>108882.22</v>
      </c>
      <c r="BB32" s="13">
        <f t="shared" si="26"/>
        <v>103031.26</v>
      </c>
      <c r="BC32" s="13">
        <f t="shared" si="26"/>
        <v>107184.40000000001</v>
      </c>
      <c r="BD32" s="13">
        <f t="shared" si="26"/>
        <v>117976.55000000002</v>
      </c>
      <c r="BE32" s="13">
        <f t="shared" si="26"/>
        <v>101211.86000000002</v>
      </c>
      <c r="BF32" s="13">
        <f t="shared" si="26"/>
        <v>91800.660000000018</v>
      </c>
      <c r="BG32" s="13">
        <f t="shared" si="26"/>
        <v>77068.75</v>
      </c>
      <c r="BH32" s="13">
        <f t="shared" si="26"/>
        <v>83211.28</v>
      </c>
      <c r="BI32" s="13">
        <f t="shared" si="26"/>
        <v>67685.620000000024</v>
      </c>
      <c r="BJ32" s="13">
        <f t="shared" si="26"/>
        <v>103747.64000000001</v>
      </c>
      <c r="BK32" s="13">
        <f t="shared" si="26"/>
        <v>93134.77</v>
      </c>
      <c r="BL32" s="13">
        <f t="shared" si="26"/>
        <v>88916.65</v>
      </c>
      <c r="BM32" s="13">
        <f t="shared" si="26"/>
        <v>83006.899999999994</v>
      </c>
      <c r="BN32" s="13">
        <f t="shared" si="26"/>
        <v>90143.57</v>
      </c>
      <c r="BO32" s="13">
        <f t="shared" ref="BO32:BY32" si="27">SUM(BO25:BO31)</f>
        <v>80120.45</v>
      </c>
      <c r="BP32" s="13">
        <f t="shared" si="27"/>
        <v>76775.909999999989</v>
      </c>
      <c r="BQ32" s="13">
        <f t="shared" si="27"/>
        <v>81369.77</v>
      </c>
      <c r="BR32" s="13">
        <f t="shared" si="27"/>
        <v>85465.340000000026</v>
      </c>
      <c r="BS32" s="13">
        <f t="shared" si="27"/>
        <v>81565.140000000014</v>
      </c>
      <c r="BT32" s="13">
        <f t="shared" si="27"/>
        <v>96399.170000000027</v>
      </c>
      <c r="BU32" s="13">
        <f t="shared" si="27"/>
        <v>97611.65</v>
      </c>
      <c r="BV32" s="13">
        <f t="shared" si="27"/>
        <v>119329.16</v>
      </c>
      <c r="BW32" s="13">
        <f t="shared" si="27"/>
        <v>104507.06</v>
      </c>
      <c r="BX32" s="13">
        <f t="shared" si="27"/>
        <v>101626.53000000001</v>
      </c>
      <c r="BY32" s="13">
        <f t="shared" si="27"/>
        <v>94430.310000000012</v>
      </c>
      <c r="BZ32" s="13">
        <f t="shared" ref="BZ32" si="28">SUM(BZ25:BZ31)</f>
        <v>94811.68</v>
      </c>
      <c r="CA32" s="25"/>
      <c r="CB32" s="13"/>
      <c r="CC32" s="13"/>
      <c r="CD32" s="13"/>
      <c r="CE32" s="13"/>
      <c r="CF32" s="13"/>
      <c r="CG32" s="13"/>
      <c r="CH32" s="19">
        <v>86625.000000000015</v>
      </c>
      <c r="CI32" s="19">
        <v>90370.000000000015</v>
      </c>
      <c r="CJ32" s="19">
        <v>89950.000000000015</v>
      </c>
      <c r="CK32" s="19">
        <v>89684.000000000015</v>
      </c>
      <c r="CL32" s="19">
        <v>87661.000000000015</v>
      </c>
      <c r="CM32" s="19">
        <v>69772.78</v>
      </c>
      <c r="CN32" s="19">
        <v>69772.78</v>
      </c>
      <c r="CO32" s="19">
        <v>69772.78</v>
      </c>
      <c r="CP32" s="19">
        <v>69772.78</v>
      </c>
      <c r="CQ32" s="19">
        <v>69772.78</v>
      </c>
      <c r="CR32" s="19">
        <v>69772.78</v>
      </c>
      <c r="CS32" s="19">
        <v>69772.78</v>
      </c>
    </row>
    <row r="33" spans="1:97" x14ac:dyDescent="0.3">
      <c r="A33" s="6" t="s">
        <v>12</v>
      </c>
      <c r="B33" s="1">
        <v>28087.5</v>
      </c>
      <c r="C33" s="1">
        <v>50037.17</v>
      </c>
      <c r="D33" s="1">
        <v>46556.33</v>
      </c>
      <c r="E33" s="1">
        <v>36175</v>
      </c>
      <c r="F33" s="1">
        <v>47594.6</v>
      </c>
      <c r="G33" s="1">
        <v>22332</v>
      </c>
      <c r="H33" s="1">
        <v>35523</v>
      </c>
      <c r="I33" s="1">
        <v>28052.5</v>
      </c>
      <c r="J33" s="1">
        <v>26872</v>
      </c>
      <c r="K33" s="1">
        <v>24889.5</v>
      </c>
      <c r="L33" s="1">
        <v>28332</v>
      </c>
      <c r="M33" s="1">
        <v>2083.36</v>
      </c>
      <c r="N33" s="1">
        <v>25705.45</v>
      </c>
      <c r="O33" s="1">
        <v>25405.4</v>
      </c>
      <c r="P33" s="1">
        <v>25896</v>
      </c>
      <c r="Q33" s="1">
        <v>25297.5</v>
      </c>
      <c r="R33" s="1">
        <v>25755.9</v>
      </c>
      <c r="S33" s="1">
        <v>34349.61</v>
      </c>
      <c r="T33" s="1">
        <v>11539.5</v>
      </c>
      <c r="U33" s="1">
        <v>26307.200000000001</v>
      </c>
      <c r="V33" s="1">
        <v>23026.5</v>
      </c>
      <c r="W33" s="1">
        <v>16355.97</v>
      </c>
      <c r="X33" s="1">
        <v>24756.5</v>
      </c>
      <c r="Y33" s="1">
        <v>27113.67</v>
      </c>
      <c r="Z33" s="1">
        <v>25536.5</v>
      </c>
      <c r="AA33" s="1">
        <v>14607.5</v>
      </c>
      <c r="AB33" s="1">
        <v>14841</v>
      </c>
      <c r="AC33" s="1">
        <v>32000.93</v>
      </c>
      <c r="AD33" s="1">
        <v>17978</v>
      </c>
      <c r="AE33" s="1">
        <v>29743.16</v>
      </c>
      <c r="AF33" s="1">
        <v>11682.16</v>
      </c>
      <c r="AG33" s="1">
        <v>26134.16</v>
      </c>
      <c r="AH33" s="1">
        <v>13517.89</v>
      </c>
      <c r="AI33" s="1">
        <v>19618.169999999998</v>
      </c>
      <c r="AJ33" s="1">
        <v>18244.260000000002</v>
      </c>
      <c r="AK33" s="1">
        <v>30674.78</v>
      </c>
      <c r="AL33" s="1">
        <v>19675.16</v>
      </c>
      <c r="AM33" s="1">
        <v>21376.010000000002</v>
      </c>
      <c r="AN33" s="1">
        <v>28711.119999999999</v>
      </c>
      <c r="AO33" s="1">
        <v>23979.920000000002</v>
      </c>
      <c r="AP33" s="1">
        <v>31923.239999999998</v>
      </c>
      <c r="AQ33" s="1">
        <v>30098.12</v>
      </c>
      <c r="AR33" s="1">
        <v>16258.119999999999</v>
      </c>
      <c r="AS33" s="1">
        <v>32677.439999999999</v>
      </c>
      <c r="AT33" s="1">
        <v>32853.120000000003</v>
      </c>
      <c r="AU33" s="1">
        <v>23649.119999999999</v>
      </c>
      <c r="AV33" s="1">
        <v>30738.120000000003</v>
      </c>
      <c r="AW33" s="1">
        <v>26750.41</v>
      </c>
      <c r="AX33" s="1">
        <v>34506.92</v>
      </c>
      <c r="AY33" s="1">
        <v>30373.66</v>
      </c>
      <c r="AZ33" s="1">
        <v>30137.66</v>
      </c>
      <c r="BA33" s="1">
        <v>33762.080000000002</v>
      </c>
      <c r="BB33" s="1">
        <v>33983.660000000003</v>
      </c>
      <c r="BC33" s="1">
        <v>38408.759999999995</v>
      </c>
      <c r="BD33" s="1">
        <v>29029.66</v>
      </c>
      <c r="BE33" s="1">
        <v>42205.86</v>
      </c>
      <c r="BF33" s="1">
        <v>40718.86</v>
      </c>
      <c r="BG33" s="1">
        <v>40126.86</v>
      </c>
      <c r="BH33" s="1">
        <v>37216</v>
      </c>
      <c r="BI33" s="1">
        <v>37261.560000000005</v>
      </c>
      <c r="BJ33" s="1">
        <v>40182.36</v>
      </c>
      <c r="BK33" s="1">
        <v>25118.080000000002</v>
      </c>
      <c r="BL33" s="1">
        <v>29684.68</v>
      </c>
      <c r="BM33" s="1">
        <v>28641.78</v>
      </c>
      <c r="BN33" s="1">
        <v>37058.660000000003</v>
      </c>
      <c r="BO33" s="1">
        <v>28017.21</v>
      </c>
      <c r="BP33" s="1">
        <v>17374.59</v>
      </c>
      <c r="BQ33" s="1">
        <v>15522.34</v>
      </c>
      <c r="BR33" s="1">
        <v>22910.68</v>
      </c>
      <c r="BS33" s="1">
        <v>15174.8</v>
      </c>
      <c r="BT33" s="1">
        <v>27840.09</v>
      </c>
      <c r="BU33" s="1">
        <v>56800.31</v>
      </c>
      <c r="BV33" s="1">
        <v>22915.530000000002</v>
      </c>
      <c r="BW33" s="1">
        <v>25929.68</v>
      </c>
      <c r="BX33" s="1">
        <v>30065.809999999998</v>
      </c>
      <c r="BY33" s="1">
        <v>33223.31</v>
      </c>
      <c r="BZ33" s="12">
        <v>31205.920000000002</v>
      </c>
      <c r="CA33" s="20"/>
      <c r="CB33" s="1"/>
      <c r="CC33" s="1"/>
      <c r="CD33" s="1"/>
      <c r="CE33" s="1"/>
      <c r="CF33" s="1"/>
      <c r="CG33" s="18"/>
      <c r="CH33" s="19">
        <v>19800</v>
      </c>
      <c r="CI33" s="19">
        <v>20656</v>
      </c>
      <c r="CJ33" s="19">
        <v>20560</v>
      </c>
      <c r="CK33" s="19">
        <v>20499.2</v>
      </c>
      <c r="CL33" s="19">
        <v>20036.8</v>
      </c>
      <c r="CM33" s="19">
        <v>15457.000000000002</v>
      </c>
      <c r="CN33" s="19">
        <v>15457.000000000002</v>
      </c>
      <c r="CO33" s="19">
        <v>15457.000000000002</v>
      </c>
      <c r="CP33" s="19">
        <v>15457.000000000002</v>
      </c>
      <c r="CQ33" s="19">
        <v>15457.000000000002</v>
      </c>
      <c r="CR33" s="19">
        <v>15457.000000000002</v>
      </c>
      <c r="CS33" s="19">
        <v>15457.000000000002</v>
      </c>
    </row>
    <row r="34" spans="1:97" x14ac:dyDescent="0.3">
      <c r="A34" s="4"/>
      <c r="CA34" s="20"/>
    </row>
    <row r="35" spans="1:97" x14ac:dyDescent="0.3">
      <c r="A35" s="4" t="s">
        <v>35</v>
      </c>
      <c r="B35" s="12">
        <v>16514.490000000002</v>
      </c>
      <c r="C35" s="12">
        <v>13663.619999999999</v>
      </c>
      <c r="D35" s="12">
        <v>15324.300000000001</v>
      </c>
      <c r="E35" s="12">
        <v>15216.130000000001</v>
      </c>
      <c r="F35" s="12">
        <v>14927.210000000001</v>
      </c>
      <c r="G35" s="12">
        <v>15425.91</v>
      </c>
      <c r="H35" s="12">
        <v>15425.91</v>
      </c>
      <c r="I35" s="12">
        <v>17111.890000000003</v>
      </c>
      <c r="J35" s="12">
        <v>16749.349999999999</v>
      </c>
      <c r="K35" s="12">
        <v>16555.75</v>
      </c>
      <c r="L35" s="12">
        <v>16372.420000000002</v>
      </c>
      <c r="M35" s="12">
        <v>9924.61</v>
      </c>
      <c r="N35" s="12">
        <v>14147.850000000002</v>
      </c>
      <c r="O35" s="12">
        <v>14454.39</v>
      </c>
      <c r="P35" s="12">
        <v>15747.74</v>
      </c>
      <c r="Q35" s="12">
        <v>15778.140000000001</v>
      </c>
      <c r="R35" s="12">
        <v>13943.740000000002</v>
      </c>
      <c r="S35" s="12">
        <v>13616.12</v>
      </c>
      <c r="T35" s="12">
        <v>10284.480000000001</v>
      </c>
      <c r="U35" s="12">
        <v>9885.9800000000014</v>
      </c>
      <c r="V35" s="12">
        <v>11685.58</v>
      </c>
      <c r="W35" s="12">
        <v>11685.58</v>
      </c>
      <c r="X35" s="12">
        <v>16165.58</v>
      </c>
      <c r="Y35" s="12">
        <v>11496.3</v>
      </c>
      <c r="Z35" s="12">
        <v>11876.08</v>
      </c>
      <c r="AA35" s="12">
        <v>11276.08</v>
      </c>
      <c r="AB35" s="12">
        <v>12148.83</v>
      </c>
      <c r="AC35" s="12">
        <v>12213.58</v>
      </c>
      <c r="AD35" s="12">
        <v>11538.58</v>
      </c>
      <c r="AE35" s="12">
        <v>11850.86</v>
      </c>
      <c r="AF35" s="12">
        <v>11850.86</v>
      </c>
      <c r="AG35" s="12">
        <v>12934.88</v>
      </c>
      <c r="AH35" s="12">
        <v>11322.88</v>
      </c>
      <c r="AI35" s="12">
        <v>12588.449999999999</v>
      </c>
      <c r="AJ35" s="12">
        <v>12213.58</v>
      </c>
      <c r="AK35" s="12">
        <v>10187.270000000002</v>
      </c>
      <c r="AL35" s="12">
        <v>11794.18</v>
      </c>
      <c r="AM35" s="12">
        <v>11598.58</v>
      </c>
      <c r="AN35" s="12">
        <v>12513.529999999999</v>
      </c>
      <c r="AO35" s="12">
        <v>12537.839999999998</v>
      </c>
      <c r="AP35" s="12">
        <v>12514.529999999999</v>
      </c>
      <c r="AQ35" s="12">
        <v>12273.779999999999</v>
      </c>
      <c r="AR35" s="12">
        <v>12273.779999999999</v>
      </c>
      <c r="AS35" s="12">
        <v>7656.78</v>
      </c>
      <c r="AT35" s="12">
        <v>12041.779999999999</v>
      </c>
      <c r="AU35" s="12">
        <v>13122.779999999999</v>
      </c>
      <c r="AV35" s="12">
        <v>13120.279999999999</v>
      </c>
      <c r="AW35" s="12">
        <v>9580.4700000000012</v>
      </c>
      <c r="AX35" s="12">
        <v>12534.569999999998</v>
      </c>
      <c r="AY35" s="12">
        <v>12753.319999999998</v>
      </c>
      <c r="AZ35" s="12">
        <v>12718.569999999998</v>
      </c>
      <c r="BA35" s="12">
        <v>13074.269999999999</v>
      </c>
      <c r="BB35" s="12">
        <v>13090.569999999998</v>
      </c>
      <c r="BC35" s="12">
        <v>13085.319999999998</v>
      </c>
      <c r="BD35" s="12">
        <v>14454.15</v>
      </c>
      <c r="BE35" s="12">
        <v>7225.8</v>
      </c>
      <c r="BF35" s="12">
        <v>11604.789999999995</v>
      </c>
      <c r="BG35" s="12">
        <v>12486.029999999999</v>
      </c>
      <c r="BH35" s="12">
        <v>12486.029999999999</v>
      </c>
      <c r="BI35" s="12">
        <v>11845.400000000001</v>
      </c>
      <c r="BJ35" s="12">
        <v>12157.590000000002</v>
      </c>
      <c r="BK35" s="12">
        <v>12588.6</v>
      </c>
      <c r="BL35" s="12">
        <v>13058.19</v>
      </c>
      <c r="BM35" s="12">
        <v>13057.19</v>
      </c>
      <c r="BN35" s="12">
        <v>12920.69</v>
      </c>
      <c r="BO35" s="12">
        <v>12991.1</v>
      </c>
      <c r="BP35" s="12">
        <v>13018.82</v>
      </c>
      <c r="BQ35" s="12">
        <v>11844.53</v>
      </c>
      <c r="BR35" s="12">
        <v>11308.53</v>
      </c>
      <c r="BS35" s="12">
        <v>12957.19</v>
      </c>
      <c r="BT35" s="12">
        <v>12991.1</v>
      </c>
      <c r="BU35" s="12">
        <v>11971.09</v>
      </c>
      <c r="BV35" s="12">
        <v>13055.19</v>
      </c>
      <c r="BW35" s="12">
        <v>12688.110000000002</v>
      </c>
      <c r="BX35" s="12">
        <v>13129.110000000002</v>
      </c>
      <c r="BY35" s="12">
        <v>11603.020000000002</v>
      </c>
      <c r="BZ35" s="12">
        <v>12258.220000000003</v>
      </c>
      <c r="CA35" s="20"/>
      <c r="CB35" s="12"/>
      <c r="CC35" s="12"/>
      <c r="CD35" s="12"/>
      <c r="CE35" s="12"/>
      <c r="CF35" s="12"/>
      <c r="CG35" s="12"/>
      <c r="CH35" s="12">
        <v>0</v>
      </c>
      <c r="CI35" s="12">
        <v>0</v>
      </c>
      <c r="CJ35" s="12">
        <v>0</v>
      </c>
      <c r="CK35" s="12">
        <v>0</v>
      </c>
      <c r="CL35" s="12">
        <v>0</v>
      </c>
      <c r="CM35" s="12">
        <v>0</v>
      </c>
      <c r="CN35" s="12">
        <v>0</v>
      </c>
      <c r="CO35" s="12">
        <v>0</v>
      </c>
      <c r="CP35" s="12">
        <v>0</v>
      </c>
      <c r="CQ35" s="12">
        <v>0</v>
      </c>
      <c r="CR35" s="12">
        <v>0</v>
      </c>
      <c r="CS35" s="12">
        <v>0</v>
      </c>
    </row>
    <row r="36" spans="1:97" x14ac:dyDescent="0.3">
      <c r="A36" s="4" t="s">
        <v>36</v>
      </c>
      <c r="B36" s="12">
        <v>1553.9599999999998</v>
      </c>
      <c r="C36" s="12">
        <v>1174.3899999999999</v>
      </c>
      <c r="D36" s="12">
        <v>276.2</v>
      </c>
      <c r="E36" s="12">
        <v>653.54</v>
      </c>
      <c r="F36" s="12">
        <v>423.01</v>
      </c>
      <c r="G36" s="12">
        <v>79.550000000000011</v>
      </c>
      <c r="H36" s="12">
        <v>98.72</v>
      </c>
      <c r="I36" s="12">
        <v>391.41999999999996</v>
      </c>
      <c r="J36" s="12">
        <v>412.89</v>
      </c>
      <c r="K36" s="12">
        <v>343.53</v>
      </c>
      <c r="L36" s="12">
        <v>306.33</v>
      </c>
      <c r="M36" s="12">
        <v>488.05</v>
      </c>
      <c r="N36" s="12">
        <v>427.63</v>
      </c>
      <c r="O36" s="12">
        <v>179.58</v>
      </c>
      <c r="P36" s="12">
        <v>34</v>
      </c>
      <c r="Q36" s="12">
        <v>116.66</v>
      </c>
      <c r="R36" s="12">
        <v>0</v>
      </c>
      <c r="S36" s="12">
        <v>337.02</v>
      </c>
      <c r="T36" s="12">
        <v>292.84999999999997</v>
      </c>
      <c r="U36" s="12">
        <v>33.340000000000003</v>
      </c>
      <c r="V36" s="12">
        <v>349.99</v>
      </c>
      <c r="W36" s="12">
        <v>83.33</v>
      </c>
      <c r="X36" s="12">
        <v>249.99</v>
      </c>
      <c r="Y36" s="12">
        <v>116.66</v>
      </c>
      <c r="Z36" s="12">
        <v>150</v>
      </c>
      <c r="AA36" s="12">
        <v>100</v>
      </c>
      <c r="AB36" s="12">
        <v>-16.669999999999987</v>
      </c>
      <c r="AC36" s="12">
        <v>179.99</v>
      </c>
      <c r="AD36" s="12">
        <v>0</v>
      </c>
      <c r="AE36" s="12">
        <v>262.69</v>
      </c>
      <c r="AF36" s="12">
        <v>100</v>
      </c>
      <c r="AG36" s="12">
        <v>115.07</v>
      </c>
      <c r="AH36" s="12">
        <v>266.66000000000003</v>
      </c>
      <c r="AI36" s="12">
        <v>66.66</v>
      </c>
      <c r="AJ36" s="12">
        <v>174.16</v>
      </c>
      <c r="AK36" s="12">
        <v>216.49</v>
      </c>
      <c r="AL36" s="12">
        <v>166.66000000000003</v>
      </c>
      <c r="AM36" s="12">
        <v>83.33</v>
      </c>
      <c r="AN36" s="12">
        <v>177.49</v>
      </c>
      <c r="AO36" s="12">
        <v>138.32999999999998</v>
      </c>
      <c r="AP36" s="12">
        <v>299.97999999999996</v>
      </c>
      <c r="AQ36" s="12">
        <v>144.19</v>
      </c>
      <c r="AR36" s="12">
        <v>359.15999999999997</v>
      </c>
      <c r="AS36" s="12">
        <v>133.32999999999998</v>
      </c>
      <c r="AT36" s="12">
        <v>33.33</v>
      </c>
      <c r="AU36" s="12">
        <v>171.66</v>
      </c>
      <c r="AV36" s="12">
        <v>33.33</v>
      </c>
      <c r="AW36" s="12">
        <v>194.13</v>
      </c>
      <c r="AX36" s="12">
        <v>83.33</v>
      </c>
      <c r="AY36" s="12">
        <v>144.16</v>
      </c>
      <c r="AZ36" s="12">
        <v>216.65999999999997</v>
      </c>
      <c r="BA36" s="12">
        <v>77.5</v>
      </c>
      <c r="BB36" s="12">
        <v>94.16</v>
      </c>
      <c r="BC36" s="12">
        <v>55</v>
      </c>
      <c r="BD36" s="12">
        <v>360.82</v>
      </c>
      <c r="BE36" s="12">
        <v>166.65999999999997</v>
      </c>
      <c r="BF36" s="12">
        <v>205.32999999999998</v>
      </c>
      <c r="BG36" s="12">
        <v>133.32999999999998</v>
      </c>
      <c r="BH36" s="12">
        <v>83.33</v>
      </c>
      <c r="BI36" s="12">
        <v>448.31999999999994</v>
      </c>
      <c r="BJ36" s="12">
        <v>133.32999999999998</v>
      </c>
      <c r="BK36" s="12">
        <v>221.65999999999997</v>
      </c>
      <c r="BL36" s="12">
        <v>166.66</v>
      </c>
      <c r="BM36" s="12">
        <v>182.5</v>
      </c>
      <c r="BN36" s="12">
        <v>177.49</v>
      </c>
      <c r="BO36" s="12">
        <v>199.99</v>
      </c>
      <c r="BP36" s="12">
        <v>116.66</v>
      </c>
      <c r="BQ36" s="12">
        <v>288.33</v>
      </c>
      <c r="BR36" s="12">
        <v>116.66</v>
      </c>
      <c r="BS36" s="12">
        <v>166.66</v>
      </c>
      <c r="BT36" s="12">
        <v>83.33</v>
      </c>
      <c r="BU36" s="12">
        <v>216.65999999999997</v>
      </c>
      <c r="BV36" s="12">
        <v>166.66</v>
      </c>
      <c r="BW36" s="12">
        <v>66.66</v>
      </c>
      <c r="BX36" s="12">
        <v>266.65999999999997</v>
      </c>
      <c r="BY36" s="12">
        <v>116.66</v>
      </c>
      <c r="BZ36" s="12">
        <v>116.66</v>
      </c>
      <c r="CA36" s="20"/>
      <c r="CB36" s="12"/>
      <c r="CC36" s="12"/>
      <c r="CD36" s="12"/>
      <c r="CE36" s="12"/>
      <c r="CF36" s="12"/>
      <c r="CG36" s="12"/>
      <c r="CH36" s="12">
        <v>0</v>
      </c>
      <c r="CI36" s="12">
        <v>0</v>
      </c>
      <c r="CJ36" s="12">
        <v>0</v>
      </c>
      <c r="CK36" s="12">
        <v>0</v>
      </c>
      <c r="CL36" s="12">
        <v>0</v>
      </c>
      <c r="CM36" s="12">
        <v>0</v>
      </c>
      <c r="CN36" s="12">
        <v>0</v>
      </c>
      <c r="CO36" s="12">
        <v>0</v>
      </c>
      <c r="CP36" s="12">
        <v>0</v>
      </c>
      <c r="CQ36" s="12">
        <v>0</v>
      </c>
      <c r="CR36" s="12">
        <v>0</v>
      </c>
      <c r="CS36" s="12">
        <v>0</v>
      </c>
    </row>
    <row r="37" spans="1:97" x14ac:dyDescent="0.3">
      <c r="A37" s="4"/>
      <c r="B37" s="12">
        <v>0</v>
      </c>
      <c r="C37" s="12">
        <v>0</v>
      </c>
      <c r="D37" s="12">
        <v>0</v>
      </c>
      <c r="E37" s="12">
        <v>0</v>
      </c>
      <c r="F37" s="12">
        <v>0</v>
      </c>
      <c r="G37" s="12">
        <v>0</v>
      </c>
      <c r="H37" s="12">
        <v>0</v>
      </c>
      <c r="I37" s="12">
        <v>0</v>
      </c>
      <c r="J37" s="12">
        <v>0</v>
      </c>
      <c r="K37" s="12">
        <v>0</v>
      </c>
      <c r="L37" s="12">
        <v>0</v>
      </c>
      <c r="M37" s="12">
        <v>0</v>
      </c>
      <c r="N37" s="12">
        <v>0</v>
      </c>
      <c r="O37" s="12">
        <v>0</v>
      </c>
      <c r="P37" s="12">
        <v>0</v>
      </c>
      <c r="Q37" s="12">
        <v>0</v>
      </c>
      <c r="R37" s="12">
        <v>0</v>
      </c>
      <c r="S37" s="12">
        <v>0</v>
      </c>
      <c r="T37" s="12">
        <v>0</v>
      </c>
      <c r="U37" s="12">
        <v>0</v>
      </c>
      <c r="V37" s="12">
        <v>0</v>
      </c>
      <c r="W37" s="12">
        <v>0</v>
      </c>
      <c r="X37" s="12">
        <v>0</v>
      </c>
      <c r="Y37" s="12">
        <v>0</v>
      </c>
      <c r="Z37" s="12">
        <v>0</v>
      </c>
      <c r="AA37" s="12">
        <v>0</v>
      </c>
      <c r="AB37" s="12">
        <v>0</v>
      </c>
      <c r="AC37" s="12">
        <v>0</v>
      </c>
      <c r="AD37" s="12">
        <v>0</v>
      </c>
      <c r="AE37" s="12">
        <v>0</v>
      </c>
      <c r="AF37" s="12">
        <v>0</v>
      </c>
      <c r="AG37" s="12">
        <v>0</v>
      </c>
      <c r="AH37" s="12">
        <v>0</v>
      </c>
      <c r="AI37" s="12">
        <v>0</v>
      </c>
      <c r="AJ37" s="12">
        <v>0</v>
      </c>
      <c r="AK37" s="12">
        <v>0</v>
      </c>
      <c r="AL37" s="12">
        <v>0</v>
      </c>
      <c r="AM37" s="12">
        <v>0</v>
      </c>
      <c r="AN37" s="12">
        <v>0</v>
      </c>
      <c r="AO37" s="12">
        <v>0</v>
      </c>
      <c r="AP37" s="12">
        <v>0</v>
      </c>
      <c r="AQ37" s="12">
        <v>0</v>
      </c>
      <c r="AR37" s="12">
        <v>0</v>
      </c>
      <c r="AS37" s="12">
        <v>0</v>
      </c>
      <c r="AT37" s="12">
        <v>0</v>
      </c>
      <c r="AU37" s="12">
        <v>0</v>
      </c>
      <c r="AV37" s="12">
        <v>0</v>
      </c>
      <c r="AW37" s="12">
        <v>0</v>
      </c>
      <c r="AX37" s="12">
        <v>0</v>
      </c>
      <c r="AY37" s="12">
        <v>0</v>
      </c>
      <c r="AZ37" s="12">
        <v>0</v>
      </c>
      <c r="BA37" s="12">
        <v>0</v>
      </c>
      <c r="BB37" s="12">
        <v>0</v>
      </c>
      <c r="BC37" s="12">
        <v>0</v>
      </c>
      <c r="BD37" s="12">
        <v>0</v>
      </c>
      <c r="BE37" s="12">
        <v>0</v>
      </c>
      <c r="BF37" s="12">
        <v>0</v>
      </c>
      <c r="BG37" s="12">
        <v>0</v>
      </c>
      <c r="BH37" s="12">
        <v>0</v>
      </c>
      <c r="BI37" s="12">
        <v>0</v>
      </c>
      <c r="BJ37" s="12">
        <v>0</v>
      </c>
      <c r="BK37" s="12">
        <v>0</v>
      </c>
      <c r="BL37" s="12">
        <v>0</v>
      </c>
      <c r="BM37" s="12">
        <v>0</v>
      </c>
      <c r="BN37" s="12">
        <v>0</v>
      </c>
      <c r="BO37" s="12">
        <v>0</v>
      </c>
      <c r="BP37" s="12">
        <v>0</v>
      </c>
      <c r="BQ37" s="12">
        <v>0</v>
      </c>
      <c r="BR37" s="12">
        <v>0</v>
      </c>
      <c r="BS37" s="12">
        <v>0</v>
      </c>
      <c r="BT37" s="12">
        <v>0</v>
      </c>
      <c r="BU37" s="12">
        <v>0</v>
      </c>
      <c r="BV37" s="12">
        <v>0</v>
      </c>
      <c r="BW37" s="12">
        <v>0</v>
      </c>
      <c r="BX37" s="12">
        <v>0</v>
      </c>
      <c r="BY37" s="12">
        <v>0</v>
      </c>
      <c r="BZ37" s="12">
        <v>0</v>
      </c>
      <c r="CA37" s="20"/>
      <c r="CB37" s="12"/>
      <c r="CC37" s="12"/>
      <c r="CD37" s="12"/>
      <c r="CE37" s="12"/>
      <c r="CF37" s="12"/>
      <c r="CG37" s="12"/>
      <c r="CH37" s="12"/>
      <c r="CI37" s="12"/>
      <c r="CJ37" s="12"/>
      <c r="CK37" s="12"/>
      <c r="CL37" s="12"/>
      <c r="CM37" s="12"/>
      <c r="CN37" s="12"/>
      <c r="CO37" s="12"/>
      <c r="CP37" s="12"/>
      <c r="CQ37" s="12"/>
      <c r="CR37" s="12"/>
      <c r="CS37" s="12"/>
    </row>
    <row r="38" spans="1:97" x14ac:dyDescent="0.3">
      <c r="A38" s="4" t="s">
        <v>37</v>
      </c>
      <c r="B38" s="12">
        <v>44179.55</v>
      </c>
      <c r="C38" s="12">
        <v>44142.990000000005</v>
      </c>
      <c r="D38" s="12">
        <v>38651.330000000009</v>
      </c>
      <c r="E38" s="12">
        <v>41126.739999999991</v>
      </c>
      <c r="F38" s="12">
        <v>43188.079999999994</v>
      </c>
      <c r="G38" s="12">
        <v>40679.660000000003</v>
      </c>
      <c r="H38" s="12">
        <v>48734.310000000005</v>
      </c>
      <c r="I38" s="12">
        <v>42178.05</v>
      </c>
      <c r="J38" s="12">
        <v>47132.61</v>
      </c>
      <c r="K38" s="12">
        <v>46168.15</v>
      </c>
      <c r="L38" s="12">
        <v>52339.950000000012</v>
      </c>
      <c r="M38" s="12">
        <v>35993.380000000005</v>
      </c>
      <c r="N38" s="12">
        <v>61879.200000000004</v>
      </c>
      <c r="O38" s="12">
        <v>58123.89</v>
      </c>
      <c r="P38" s="12">
        <v>59419.910000000011</v>
      </c>
      <c r="Q38" s="12">
        <v>58817.929999999993</v>
      </c>
      <c r="R38" s="12">
        <v>52257.819999999992</v>
      </c>
      <c r="S38" s="12">
        <v>59029.76999999999</v>
      </c>
      <c r="T38" s="12">
        <v>59690.81</v>
      </c>
      <c r="U38" s="12">
        <v>56687.880000000012</v>
      </c>
      <c r="V38" s="12">
        <v>61015.709999999985</v>
      </c>
      <c r="W38" s="12">
        <v>62420.75999999998</v>
      </c>
      <c r="X38" s="12">
        <v>66594.87</v>
      </c>
      <c r="Y38" s="12">
        <v>44640.390000000007</v>
      </c>
      <c r="Z38" s="12">
        <v>58020.819999999992</v>
      </c>
      <c r="AA38" s="12">
        <v>61270.720000000016</v>
      </c>
      <c r="AB38" s="12">
        <v>64759.399999999994</v>
      </c>
      <c r="AC38" s="12">
        <v>51360.75</v>
      </c>
      <c r="AD38" s="12">
        <v>60105.650000000009</v>
      </c>
      <c r="AE38" s="12">
        <v>61634.83</v>
      </c>
      <c r="AF38" s="12">
        <v>59116.53</v>
      </c>
      <c r="AG38" s="12">
        <v>56569.880000000005</v>
      </c>
      <c r="AH38" s="12">
        <v>56365.060000000005</v>
      </c>
      <c r="AI38" s="12">
        <v>63962.850000000006</v>
      </c>
      <c r="AJ38" s="12">
        <v>63770.19000000001</v>
      </c>
      <c r="AK38" s="12">
        <v>-2759.1499999999978</v>
      </c>
      <c r="AL38" s="12">
        <v>67934.340000000011</v>
      </c>
      <c r="AM38" s="12">
        <v>57516.78</v>
      </c>
      <c r="AN38" s="12">
        <v>63162.660000000011</v>
      </c>
      <c r="AO38" s="12">
        <v>71978.650000000009</v>
      </c>
      <c r="AP38" s="12">
        <v>65892.950000000012</v>
      </c>
      <c r="AQ38" s="12">
        <v>65857.95</v>
      </c>
      <c r="AR38" s="12">
        <v>64363.97</v>
      </c>
      <c r="AS38" s="12">
        <v>55247.82</v>
      </c>
      <c r="AT38" s="12">
        <v>63969.150000000009</v>
      </c>
      <c r="AU38" s="12">
        <v>61148.850000000006</v>
      </c>
      <c r="AV38" s="12">
        <v>69022.37999999999</v>
      </c>
      <c r="AW38" s="12">
        <v>16616.199999999997</v>
      </c>
      <c r="AX38" s="12">
        <v>51939.55</v>
      </c>
      <c r="AY38" s="12">
        <v>44285.55</v>
      </c>
      <c r="AZ38" s="12">
        <v>46486.350000000006</v>
      </c>
      <c r="BA38" s="12">
        <v>42011.770000000004</v>
      </c>
      <c r="BB38" s="12">
        <v>51073.4</v>
      </c>
      <c r="BC38" s="12">
        <v>47085.39</v>
      </c>
      <c r="BD38" s="12">
        <v>23352.579999999994</v>
      </c>
      <c r="BE38" s="12">
        <v>29372.899999999994</v>
      </c>
      <c r="BF38" s="12">
        <v>28551.079999999994</v>
      </c>
      <c r="BG38" s="12">
        <v>55288.469999999987</v>
      </c>
      <c r="BH38" s="12">
        <v>54506.84</v>
      </c>
      <c r="BI38" s="12">
        <v>38807.039999999994</v>
      </c>
      <c r="BJ38" s="12">
        <v>55219.820000000007</v>
      </c>
      <c r="BK38" s="12">
        <v>47793.299999999996</v>
      </c>
      <c r="BL38" s="12">
        <v>50723.229999999996</v>
      </c>
      <c r="BM38" s="12">
        <v>42343.090000000004</v>
      </c>
      <c r="BN38" s="12">
        <v>52237.850000000006</v>
      </c>
      <c r="BO38" s="12">
        <v>50215.75</v>
      </c>
      <c r="BP38" s="12">
        <v>43873.539999999994</v>
      </c>
      <c r="BQ38" s="12">
        <v>47169.659999999996</v>
      </c>
      <c r="BR38" s="12">
        <v>51599.11</v>
      </c>
      <c r="BS38" s="12">
        <v>46451.130000000005</v>
      </c>
      <c r="BT38" s="12">
        <v>43936.61</v>
      </c>
      <c r="BU38" s="12">
        <v>7865.84</v>
      </c>
      <c r="BV38" s="12">
        <v>60305.94999999999</v>
      </c>
      <c r="BW38" s="12">
        <v>50548.1</v>
      </c>
      <c r="BX38" s="12">
        <v>55174.81</v>
      </c>
      <c r="BY38" s="12">
        <v>43038.66</v>
      </c>
      <c r="BZ38" s="12">
        <v>50847.799999999996</v>
      </c>
      <c r="CA38" s="20"/>
      <c r="CB38" s="12"/>
      <c r="CC38" s="12"/>
      <c r="CD38" s="12"/>
      <c r="CE38" s="12"/>
      <c r="CF38" s="12"/>
      <c r="CG38" s="12"/>
      <c r="CH38" s="12">
        <v>0</v>
      </c>
      <c r="CI38" s="12">
        <v>0</v>
      </c>
      <c r="CJ38" s="12">
        <v>0</v>
      </c>
      <c r="CK38" s="12">
        <v>0</v>
      </c>
      <c r="CL38" s="12">
        <v>0</v>
      </c>
      <c r="CM38" s="12">
        <v>0</v>
      </c>
      <c r="CN38" s="12">
        <v>0</v>
      </c>
      <c r="CO38" s="12">
        <v>0</v>
      </c>
      <c r="CP38" s="12">
        <v>0</v>
      </c>
      <c r="CQ38" s="12">
        <v>0</v>
      </c>
      <c r="CR38" s="12">
        <v>0</v>
      </c>
      <c r="CS38" s="12">
        <v>0</v>
      </c>
    </row>
    <row r="39" spans="1:97" x14ac:dyDescent="0.3">
      <c r="A39" s="4" t="s">
        <v>38</v>
      </c>
      <c r="B39" s="14">
        <f>B35+B36</f>
        <v>18068.45</v>
      </c>
      <c r="C39" s="14">
        <f t="shared" ref="C39:BN39" si="29">C35+C36</f>
        <v>14838.009999999998</v>
      </c>
      <c r="D39" s="14">
        <f t="shared" si="29"/>
        <v>15600.500000000002</v>
      </c>
      <c r="E39" s="14">
        <f t="shared" si="29"/>
        <v>15869.670000000002</v>
      </c>
      <c r="F39" s="14">
        <f t="shared" si="29"/>
        <v>15350.220000000001</v>
      </c>
      <c r="G39" s="14">
        <f t="shared" si="29"/>
        <v>15505.46</v>
      </c>
      <c r="H39" s="14">
        <f t="shared" si="29"/>
        <v>15524.63</v>
      </c>
      <c r="I39" s="14">
        <f t="shared" si="29"/>
        <v>17503.310000000001</v>
      </c>
      <c r="J39" s="14">
        <f t="shared" si="29"/>
        <v>17162.239999999998</v>
      </c>
      <c r="K39" s="14">
        <f t="shared" si="29"/>
        <v>16899.28</v>
      </c>
      <c r="L39" s="14">
        <f t="shared" si="29"/>
        <v>16678.750000000004</v>
      </c>
      <c r="M39" s="14">
        <f t="shared" si="29"/>
        <v>10412.66</v>
      </c>
      <c r="N39" s="14">
        <f t="shared" si="29"/>
        <v>14575.480000000001</v>
      </c>
      <c r="O39" s="14">
        <f t="shared" si="29"/>
        <v>14633.97</v>
      </c>
      <c r="P39" s="14">
        <f t="shared" si="29"/>
        <v>15781.74</v>
      </c>
      <c r="Q39" s="14">
        <f t="shared" si="29"/>
        <v>15894.800000000001</v>
      </c>
      <c r="R39" s="14">
        <f t="shared" si="29"/>
        <v>13943.740000000002</v>
      </c>
      <c r="S39" s="14">
        <f t="shared" si="29"/>
        <v>13953.140000000001</v>
      </c>
      <c r="T39" s="14">
        <f t="shared" si="29"/>
        <v>10577.330000000002</v>
      </c>
      <c r="U39" s="14">
        <f t="shared" si="29"/>
        <v>9919.3200000000015</v>
      </c>
      <c r="V39" s="14">
        <f t="shared" si="29"/>
        <v>12035.57</v>
      </c>
      <c r="W39" s="14">
        <f t="shared" si="29"/>
        <v>11768.91</v>
      </c>
      <c r="X39" s="14">
        <f t="shared" si="29"/>
        <v>16415.57</v>
      </c>
      <c r="Y39" s="14">
        <f t="shared" si="29"/>
        <v>11612.96</v>
      </c>
      <c r="Z39" s="14">
        <f t="shared" si="29"/>
        <v>12026.08</v>
      </c>
      <c r="AA39" s="14">
        <f t="shared" si="29"/>
        <v>11376.08</v>
      </c>
      <c r="AB39" s="14">
        <f t="shared" si="29"/>
        <v>12132.16</v>
      </c>
      <c r="AC39" s="14">
        <f t="shared" si="29"/>
        <v>12393.57</v>
      </c>
      <c r="AD39" s="14">
        <f t="shared" si="29"/>
        <v>11538.58</v>
      </c>
      <c r="AE39" s="14">
        <f t="shared" si="29"/>
        <v>12113.550000000001</v>
      </c>
      <c r="AF39" s="14">
        <f t="shared" si="29"/>
        <v>11950.86</v>
      </c>
      <c r="AG39" s="14">
        <f t="shared" si="29"/>
        <v>13049.949999999999</v>
      </c>
      <c r="AH39" s="14">
        <f t="shared" si="29"/>
        <v>11589.539999999999</v>
      </c>
      <c r="AI39" s="14">
        <f t="shared" si="29"/>
        <v>12655.109999999999</v>
      </c>
      <c r="AJ39" s="14">
        <f t="shared" si="29"/>
        <v>12387.74</v>
      </c>
      <c r="AK39" s="14">
        <f t="shared" si="29"/>
        <v>10403.760000000002</v>
      </c>
      <c r="AL39" s="14">
        <f t="shared" si="29"/>
        <v>11960.84</v>
      </c>
      <c r="AM39" s="14">
        <f t="shared" si="29"/>
        <v>11681.91</v>
      </c>
      <c r="AN39" s="14">
        <f t="shared" si="29"/>
        <v>12691.019999999999</v>
      </c>
      <c r="AO39" s="14">
        <f t="shared" si="29"/>
        <v>12676.169999999998</v>
      </c>
      <c r="AP39" s="14">
        <f t="shared" si="29"/>
        <v>12814.509999999998</v>
      </c>
      <c r="AQ39" s="14">
        <f t="shared" si="29"/>
        <v>12417.97</v>
      </c>
      <c r="AR39" s="14">
        <f t="shared" si="29"/>
        <v>12632.939999999999</v>
      </c>
      <c r="AS39" s="14">
        <f t="shared" si="29"/>
        <v>7790.11</v>
      </c>
      <c r="AT39" s="14">
        <f t="shared" si="29"/>
        <v>12075.109999999999</v>
      </c>
      <c r="AU39" s="14">
        <f t="shared" si="29"/>
        <v>13294.439999999999</v>
      </c>
      <c r="AV39" s="14">
        <f t="shared" si="29"/>
        <v>13153.609999999999</v>
      </c>
      <c r="AW39" s="14">
        <f t="shared" si="29"/>
        <v>9774.6</v>
      </c>
      <c r="AX39" s="14">
        <f t="shared" si="29"/>
        <v>12617.899999999998</v>
      </c>
      <c r="AY39" s="14">
        <f t="shared" si="29"/>
        <v>12897.479999999998</v>
      </c>
      <c r="AZ39" s="14">
        <f t="shared" si="29"/>
        <v>12935.229999999998</v>
      </c>
      <c r="BA39" s="14">
        <f t="shared" si="29"/>
        <v>13151.769999999999</v>
      </c>
      <c r="BB39" s="14">
        <f t="shared" si="29"/>
        <v>13184.729999999998</v>
      </c>
      <c r="BC39" s="14">
        <f t="shared" si="29"/>
        <v>13140.319999999998</v>
      </c>
      <c r="BD39" s="14">
        <f t="shared" si="29"/>
        <v>14814.97</v>
      </c>
      <c r="BE39" s="14">
        <f t="shared" si="29"/>
        <v>7392.46</v>
      </c>
      <c r="BF39" s="14">
        <f t="shared" si="29"/>
        <v>11810.119999999995</v>
      </c>
      <c r="BG39" s="14">
        <f t="shared" si="29"/>
        <v>12619.359999999999</v>
      </c>
      <c r="BH39" s="14">
        <f t="shared" si="29"/>
        <v>12569.359999999999</v>
      </c>
      <c r="BI39" s="14">
        <f t="shared" si="29"/>
        <v>12293.720000000001</v>
      </c>
      <c r="BJ39" s="14">
        <f t="shared" si="29"/>
        <v>12290.920000000002</v>
      </c>
      <c r="BK39" s="14">
        <f t="shared" si="29"/>
        <v>12810.26</v>
      </c>
      <c r="BL39" s="14">
        <f t="shared" si="29"/>
        <v>13224.85</v>
      </c>
      <c r="BM39" s="14">
        <f t="shared" si="29"/>
        <v>13239.69</v>
      </c>
      <c r="BN39" s="14">
        <f t="shared" si="29"/>
        <v>13098.18</v>
      </c>
      <c r="BO39" s="14">
        <f t="shared" ref="BO39:CS39" si="30">BO35+BO36</f>
        <v>13191.09</v>
      </c>
      <c r="BP39" s="14">
        <f t="shared" si="30"/>
        <v>13135.48</v>
      </c>
      <c r="BQ39" s="14">
        <f t="shared" si="30"/>
        <v>12132.86</v>
      </c>
      <c r="BR39" s="14">
        <f t="shared" si="30"/>
        <v>11425.19</v>
      </c>
      <c r="BS39" s="14">
        <f t="shared" si="30"/>
        <v>13123.85</v>
      </c>
      <c r="BT39" s="14">
        <f t="shared" si="30"/>
        <v>13074.43</v>
      </c>
      <c r="BU39" s="14">
        <f t="shared" si="30"/>
        <v>12187.75</v>
      </c>
      <c r="BV39" s="14">
        <f t="shared" si="30"/>
        <v>13221.85</v>
      </c>
      <c r="BW39" s="14">
        <f t="shared" si="30"/>
        <v>12754.770000000002</v>
      </c>
      <c r="BX39" s="14">
        <f t="shared" si="30"/>
        <v>13395.770000000002</v>
      </c>
      <c r="BY39" s="14">
        <f t="shared" si="30"/>
        <v>11719.680000000002</v>
      </c>
      <c r="BZ39" s="14">
        <f t="shared" ref="BZ39" si="31">BZ35+BZ36</f>
        <v>12374.880000000003</v>
      </c>
      <c r="CA39" s="20"/>
      <c r="CB39" s="14"/>
      <c r="CC39" s="14"/>
      <c r="CD39" s="14"/>
      <c r="CE39" s="14"/>
      <c r="CF39" s="14"/>
      <c r="CG39" s="14"/>
      <c r="CH39" s="14">
        <f t="shared" si="30"/>
        <v>0</v>
      </c>
      <c r="CI39" s="14">
        <f t="shared" si="30"/>
        <v>0</v>
      </c>
      <c r="CJ39" s="14">
        <f t="shared" si="30"/>
        <v>0</v>
      </c>
      <c r="CK39" s="14">
        <f t="shared" si="30"/>
        <v>0</v>
      </c>
      <c r="CL39" s="14">
        <f t="shared" si="30"/>
        <v>0</v>
      </c>
      <c r="CM39" s="14">
        <f t="shared" si="30"/>
        <v>0</v>
      </c>
      <c r="CN39" s="14">
        <f t="shared" si="30"/>
        <v>0</v>
      </c>
      <c r="CO39" s="14">
        <f t="shared" si="30"/>
        <v>0</v>
      </c>
      <c r="CP39" s="14">
        <f t="shared" si="30"/>
        <v>0</v>
      </c>
      <c r="CQ39" s="14">
        <f t="shared" si="30"/>
        <v>0</v>
      </c>
      <c r="CR39" s="14">
        <f t="shared" si="30"/>
        <v>0</v>
      </c>
      <c r="CS39" s="14">
        <f t="shared" si="30"/>
        <v>0</v>
      </c>
    </row>
    <row r="40" spans="1:97" x14ac:dyDescent="0.3">
      <c r="A40" s="4"/>
      <c r="CA40" s="20"/>
    </row>
    <row r="41" spans="1:97" x14ac:dyDescent="0.3">
      <c r="A41" s="6" t="s">
        <v>60</v>
      </c>
      <c r="B41" s="13">
        <f>SUM(B38:B40)</f>
        <v>62248</v>
      </c>
      <c r="C41" s="13">
        <f t="shared" ref="C41:BN41" si="32">SUM(C38:C40)</f>
        <v>58981</v>
      </c>
      <c r="D41" s="13">
        <f t="shared" si="32"/>
        <v>54251.830000000009</v>
      </c>
      <c r="E41" s="13">
        <f t="shared" si="32"/>
        <v>56996.409999999989</v>
      </c>
      <c r="F41" s="13">
        <f t="shared" si="32"/>
        <v>58538.299999999996</v>
      </c>
      <c r="G41" s="13">
        <f t="shared" si="32"/>
        <v>56185.120000000003</v>
      </c>
      <c r="H41" s="13">
        <f t="shared" si="32"/>
        <v>64258.94</v>
      </c>
      <c r="I41" s="13">
        <f t="shared" si="32"/>
        <v>59681.36</v>
      </c>
      <c r="J41" s="13">
        <f t="shared" si="32"/>
        <v>64294.85</v>
      </c>
      <c r="K41" s="13">
        <f t="shared" si="32"/>
        <v>63067.43</v>
      </c>
      <c r="L41" s="13">
        <f t="shared" si="32"/>
        <v>69018.700000000012</v>
      </c>
      <c r="M41" s="13">
        <f t="shared" si="32"/>
        <v>46406.040000000008</v>
      </c>
      <c r="N41" s="13">
        <f t="shared" si="32"/>
        <v>76454.680000000008</v>
      </c>
      <c r="O41" s="13">
        <f t="shared" si="32"/>
        <v>72757.86</v>
      </c>
      <c r="P41" s="13">
        <f t="shared" si="32"/>
        <v>75201.650000000009</v>
      </c>
      <c r="Q41" s="13">
        <f t="shared" si="32"/>
        <v>74712.73</v>
      </c>
      <c r="R41" s="13">
        <f t="shared" si="32"/>
        <v>66201.56</v>
      </c>
      <c r="S41" s="13">
        <f t="shared" si="32"/>
        <v>72982.909999999989</v>
      </c>
      <c r="T41" s="13">
        <f t="shared" si="32"/>
        <v>70268.14</v>
      </c>
      <c r="U41" s="13">
        <f t="shared" si="32"/>
        <v>66607.200000000012</v>
      </c>
      <c r="V41" s="13">
        <f t="shared" si="32"/>
        <v>73051.279999999984</v>
      </c>
      <c r="W41" s="13">
        <f t="shared" si="32"/>
        <v>74189.669999999984</v>
      </c>
      <c r="X41" s="13">
        <f t="shared" si="32"/>
        <v>83010.44</v>
      </c>
      <c r="Y41" s="13">
        <f t="shared" si="32"/>
        <v>56253.350000000006</v>
      </c>
      <c r="Z41" s="13">
        <f t="shared" si="32"/>
        <v>70046.899999999994</v>
      </c>
      <c r="AA41" s="13">
        <f t="shared" si="32"/>
        <v>72646.800000000017</v>
      </c>
      <c r="AB41" s="13">
        <f t="shared" si="32"/>
        <v>76891.56</v>
      </c>
      <c r="AC41" s="13">
        <f t="shared" si="32"/>
        <v>63754.32</v>
      </c>
      <c r="AD41" s="13">
        <f t="shared" si="32"/>
        <v>71644.23000000001</v>
      </c>
      <c r="AE41" s="13">
        <f t="shared" si="32"/>
        <v>73748.38</v>
      </c>
      <c r="AF41" s="13">
        <f t="shared" si="32"/>
        <v>71067.39</v>
      </c>
      <c r="AG41" s="13">
        <f t="shared" si="32"/>
        <v>69619.83</v>
      </c>
      <c r="AH41" s="13">
        <f t="shared" si="32"/>
        <v>67954.600000000006</v>
      </c>
      <c r="AI41" s="13">
        <f t="shared" si="32"/>
        <v>76617.960000000006</v>
      </c>
      <c r="AJ41" s="13">
        <f t="shared" si="32"/>
        <v>76157.930000000008</v>
      </c>
      <c r="AK41" s="13">
        <f t="shared" si="32"/>
        <v>7644.6100000000042</v>
      </c>
      <c r="AL41" s="13">
        <f t="shared" si="32"/>
        <v>79895.180000000008</v>
      </c>
      <c r="AM41" s="13">
        <f t="shared" si="32"/>
        <v>69198.69</v>
      </c>
      <c r="AN41" s="13">
        <f t="shared" si="32"/>
        <v>75853.680000000008</v>
      </c>
      <c r="AO41" s="13">
        <f t="shared" si="32"/>
        <v>84654.82</v>
      </c>
      <c r="AP41" s="13">
        <f t="shared" si="32"/>
        <v>78707.460000000006</v>
      </c>
      <c r="AQ41" s="13">
        <f t="shared" si="32"/>
        <v>78275.92</v>
      </c>
      <c r="AR41" s="13">
        <f t="shared" si="32"/>
        <v>76996.91</v>
      </c>
      <c r="AS41" s="13">
        <f t="shared" si="32"/>
        <v>63037.93</v>
      </c>
      <c r="AT41" s="13">
        <f t="shared" si="32"/>
        <v>76044.260000000009</v>
      </c>
      <c r="AU41" s="13">
        <f t="shared" si="32"/>
        <v>74443.290000000008</v>
      </c>
      <c r="AV41" s="13">
        <f t="shared" si="32"/>
        <v>82175.989999999991</v>
      </c>
      <c r="AW41" s="13">
        <f t="shared" si="32"/>
        <v>26390.799999999996</v>
      </c>
      <c r="AX41" s="13">
        <f t="shared" si="32"/>
        <v>64557.45</v>
      </c>
      <c r="AY41" s="13">
        <f t="shared" si="32"/>
        <v>57183.03</v>
      </c>
      <c r="AZ41" s="13">
        <f t="shared" si="32"/>
        <v>59421.58</v>
      </c>
      <c r="BA41" s="13">
        <f t="shared" si="32"/>
        <v>55163.54</v>
      </c>
      <c r="BB41" s="13">
        <f t="shared" si="32"/>
        <v>64258.13</v>
      </c>
      <c r="BC41" s="13">
        <f t="shared" si="32"/>
        <v>60225.71</v>
      </c>
      <c r="BD41" s="13">
        <f t="shared" si="32"/>
        <v>38167.549999999996</v>
      </c>
      <c r="BE41" s="13">
        <f t="shared" si="32"/>
        <v>36765.359999999993</v>
      </c>
      <c r="BF41" s="13">
        <f t="shared" si="32"/>
        <v>40361.19999999999</v>
      </c>
      <c r="BG41" s="13">
        <f t="shared" si="32"/>
        <v>67907.829999999987</v>
      </c>
      <c r="BH41" s="13">
        <f t="shared" si="32"/>
        <v>67076.2</v>
      </c>
      <c r="BI41" s="13">
        <f t="shared" si="32"/>
        <v>51100.759999999995</v>
      </c>
      <c r="BJ41" s="13">
        <f t="shared" si="32"/>
        <v>67510.740000000005</v>
      </c>
      <c r="BK41" s="13">
        <f t="shared" si="32"/>
        <v>60603.56</v>
      </c>
      <c r="BL41" s="13">
        <f t="shared" si="32"/>
        <v>63948.079999999994</v>
      </c>
      <c r="BM41" s="13">
        <f t="shared" si="32"/>
        <v>55582.780000000006</v>
      </c>
      <c r="BN41" s="13">
        <f t="shared" si="32"/>
        <v>65336.030000000006</v>
      </c>
      <c r="BO41" s="13">
        <f t="shared" ref="BO41:BY41" si="33">SUM(BO38:BO40)</f>
        <v>63406.84</v>
      </c>
      <c r="BP41" s="13">
        <f t="shared" si="33"/>
        <v>57009.01999999999</v>
      </c>
      <c r="BQ41" s="13">
        <f t="shared" si="33"/>
        <v>59302.52</v>
      </c>
      <c r="BR41" s="13">
        <f t="shared" si="33"/>
        <v>63024.3</v>
      </c>
      <c r="BS41" s="13">
        <f t="shared" si="33"/>
        <v>59574.98</v>
      </c>
      <c r="BT41" s="13">
        <f t="shared" si="33"/>
        <v>57011.040000000001</v>
      </c>
      <c r="BU41" s="13">
        <f t="shared" si="33"/>
        <v>20053.59</v>
      </c>
      <c r="BV41" s="13">
        <f t="shared" si="33"/>
        <v>73527.799999999988</v>
      </c>
      <c r="BW41" s="13">
        <f t="shared" si="33"/>
        <v>63302.87</v>
      </c>
      <c r="BX41" s="13">
        <f t="shared" si="33"/>
        <v>68570.58</v>
      </c>
      <c r="BY41" s="13">
        <f t="shared" si="33"/>
        <v>54758.340000000004</v>
      </c>
      <c r="BZ41" s="13">
        <f t="shared" ref="BZ41" si="34">SUM(BZ38:BZ40)</f>
        <v>63222.68</v>
      </c>
      <c r="CA41" s="25"/>
      <c r="CB41" s="13"/>
      <c r="CC41" s="13"/>
      <c r="CD41" s="13"/>
      <c r="CE41" s="13"/>
      <c r="CF41" s="13"/>
      <c r="CG41" s="13"/>
      <c r="CH41" s="13">
        <v>61875</v>
      </c>
      <c r="CI41" s="13">
        <v>64550</v>
      </c>
      <c r="CJ41" s="13">
        <v>64250</v>
      </c>
      <c r="CK41" s="13">
        <v>64060</v>
      </c>
      <c r="CL41" s="13">
        <v>62615</v>
      </c>
      <c r="CM41" s="13">
        <v>59574.980000000018</v>
      </c>
      <c r="CN41" s="13">
        <v>59574.980000000018</v>
      </c>
      <c r="CO41" s="13">
        <v>59574.980000000018</v>
      </c>
      <c r="CP41" s="13">
        <v>59574.980000000018</v>
      </c>
      <c r="CQ41" s="13">
        <v>59574.980000000018</v>
      </c>
      <c r="CR41" s="13">
        <v>59574.980000000018</v>
      </c>
      <c r="CS41" s="13">
        <v>59574.980000000018</v>
      </c>
    </row>
    <row r="42" spans="1:97" x14ac:dyDescent="0.3">
      <c r="A42" s="6"/>
      <c r="CA42" s="25"/>
    </row>
    <row r="43" spans="1:97" x14ac:dyDescent="0.3">
      <c r="A43" s="4" t="s">
        <v>13</v>
      </c>
      <c r="B43" s="12">
        <v>63894.93</v>
      </c>
      <c r="C43" s="12">
        <v>33658.89</v>
      </c>
      <c r="D43" s="12">
        <v>43100.21</v>
      </c>
      <c r="E43" s="12">
        <v>39848.18</v>
      </c>
      <c r="F43" s="12">
        <v>42715.32</v>
      </c>
      <c r="G43" s="12">
        <v>42490.22</v>
      </c>
      <c r="H43" s="12">
        <v>46401</v>
      </c>
      <c r="I43" s="12">
        <v>48460.5</v>
      </c>
      <c r="J43" s="12">
        <v>46879.41</v>
      </c>
      <c r="K43" s="12">
        <v>43707.040000000001</v>
      </c>
      <c r="L43" s="12">
        <v>40908.660000000003</v>
      </c>
      <c r="M43" s="12">
        <v>41311.5</v>
      </c>
      <c r="N43" s="12">
        <v>41142.270000000004</v>
      </c>
      <c r="O43" s="12">
        <v>38657.549999999996</v>
      </c>
      <c r="P43" s="12">
        <v>41450.550000000003</v>
      </c>
      <c r="Q43" s="12">
        <v>41330.21</v>
      </c>
      <c r="R43" s="12">
        <v>39382.720000000001</v>
      </c>
      <c r="S43" s="12">
        <v>48196.47</v>
      </c>
      <c r="T43" s="12">
        <v>41827.300000000003</v>
      </c>
      <c r="U43" s="12">
        <v>42438.87</v>
      </c>
      <c r="V43" s="12">
        <v>42604.049999999996</v>
      </c>
      <c r="W43" s="12">
        <v>42026.55</v>
      </c>
      <c r="X43" s="12">
        <v>40215.08</v>
      </c>
      <c r="Y43" s="12">
        <v>8673.4700000000012</v>
      </c>
      <c r="Z43" s="12">
        <v>32154.09</v>
      </c>
      <c r="AA43" s="12">
        <v>30118.37</v>
      </c>
      <c r="AB43" s="12">
        <v>33112.159999999996</v>
      </c>
      <c r="AC43" s="12">
        <v>34434.81</v>
      </c>
      <c r="AD43" s="12">
        <v>35884.120000000003</v>
      </c>
      <c r="AE43" s="12">
        <v>32110.71</v>
      </c>
      <c r="AF43" s="12">
        <v>35062.42</v>
      </c>
      <c r="AG43" s="12">
        <v>31340.059999999998</v>
      </c>
      <c r="AH43" s="12">
        <v>31364.870000000003</v>
      </c>
      <c r="AI43" s="12">
        <v>35499.58</v>
      </c>
      <c r="AJ43" s="12">
        <v>38555.61</v>
      </c>
      <c r="AK43" s="12">
        <v>26211.02</v>
      </c>
      <c r="AL43" s="12">
        <v>39541.909999999996</v>
      </c>
      <c r="AM43" s="12">
        <v>40708.22</v>
      </c>
      <c r="AN43" s="12">
        <v>43490.200000000004</v>
      </c>
      <c r="AO43" s="12">
        <v>52247.360000000001</v>
      </c>
      <c r="AP43" s="12">
        <v>50176.800000000003</v>
      </c>
      <c r="AQ43" s="12">
        <v>54564.79</v>
      </c>
      <c r="AR43" s="12">
        <v>63068.800000000003</v>
      </c>
      <c r="AS43" s="12">
        <v>78012.649999999994</v>
      </c>
      <c r="AT43" s="12">
        <v>76059.47</v>
      </c>
      <c r="AU43" s="12">
        <v>76699.149999999994</v>
      </c>
      <c r="AV43" s="12">
        <v>103900.8</v>
      </c>
      <c r="AW43" s="12">
        <v>95455.07</v>
      </c>
      <c r="AX43" s="12">
        <v>121730.98999999999</v>
      </c>
      <c r="AY43" s="12">
        <v>116866.83</v>
      </c>
      <c r="AZ43" s="12">
        <v>125557.75</v>
      </c>
      <c r="BA43" s="12">
        <v>121320.63</v>
      </c>
      <c r="BB43" s="12">
        <v>123600.31</v>
      </c>
      <c r="BC43" s="12">
        <v>118754.75</v>
      </c>
      <c r="BD43" s="12">
        <v>112987.59</v>
      </c>
      <c r="BE43" s="12">
        <v>107395.51999999999</v>
      </c>
      <c r="BF43" s="12">
        <v>104425.82</v>
      </c>
      <c r="BG43" s="12">
        <v>100770.78</v>
      </c>
      <c r="BH43" s="12">
        <v>84051.61</v>
      </c>
      <c r="BI43" s="12">
        <v>-100744.54999999999</v>
      </c>
      <c r="BJ43" s="12">
        <v>100891.12</v>
      </c>
      <c r="BK43" s="12">
        <v>81699.34</v>
      </c>
      <c r="BL43" s="12">
        <v>80626.320000000007</v>
      </c>
      <c r="BM43" s="12">
        <v>72984.06</v>
      </c>
      <c r="BN43" s="12">
        <v>73162.2</v>
      </c>
      <c r="BO43" s="12">
        <v>84049.11</v>
      </c>
      <c r="BP43" s="12">
        <v>50860.959999999999</v>
      </c>
      <c r="BQ43" s="12">
        <v>75478.75</v>
      </c>
      <c r="BR43" s="12">
        <v>82552.740000000005</v>
      </c>
      <c r="BS43" s="12">
        <v>69767</v>
      </c>
      <c r="BT43" s="12">
        <v>65191.880000000005</v>
      </c>
      <c r="BU43" s="12">
        <v>61233.95</v>
      </c>
      <c r="BV43" s="12">
        <v>73523.94</v>
      </c>
      <c r="BW43" s="12">
        <v>46857.52</v>
      </c>
      <c r="BX43" s="12">
        <v>67026.63</v>
      </c>
      <c r="BY43" s="12">
        <v>54776.25</v>
      </c>
      <c r="BZ43" s="12">
        <v>54706.74</v>
      </c>
      <c r="CA43" s="20"/>
      <c r="CB43" s="12"/>
      <c r="CC43" s="12"/>
      <c r="CD43" s="12"/>
      <c r="CE43" s="12"/>
      <c r="CF43" s="12"/>
      <c r="CG43" s="12"/>
      <c r="CH43" s="12">
        <v>80437.5</v>
      </c>
      <c r="CI43" s="12">
        <v>83915</v>
      </c>
      <c r="CJ43" s="12">
        <v>83525</v>
      </c>
      <c r="CK43" s="12">
        <v>83278</v>
      </c>
      <c r="CL43" s="12">
        <v>81399.5</v>
      </c>
      <c r="CM43" s="12">
        <v>70563.685679999995</v>
      </c>
      <c r="CN43" s="12">
        <v>70563.685679999995</v>
      </c>
      <c r="CO43" s="12">
        <v>70563.685679999995</v>
      </c>
      <c r="CP43" s="12">
        <v>70563.685679999995</v>
      </c>
      <c r="CQ43" s="12">
        <v>70563.685679999995</v>
      </c>
      <c r="CR43" s="12">
        <v>70563.685679999995</v>
      </c>
      <c r="CS43" s="12">
        <v>70563.685679999995</v>
      </c>
    </row>
    <row r="44" spans="1:97" x14ac:dyDescent="0.3">
      <c r="A44" s="4" t="s">
        <v>14</v>
      </c>
      <c r="B44" s="12">
        <v>2374.6</v>
      </c>
      <c r="C44" s="12">
        <v>1947.1200000000001</v>
      </c>
      <c r="D44" s="12">
        <v>2125.21</v>
      </c>
      <c r="E44" s="12">
        <v>3077.76</v>
      </c>
      <c r="F44" s="12">
        <v>2759.66</v>
      </c>
      <c r="G44" s="12">
        <v>2202.8200000000002</v>
      </c>
      <c r="H44" s="12">
        <v>3002.44</v>
      </c>
      <c r="I44" s="12">
        <v>2658.4100000000003</v>
      </c>
      <c r="J44" s="12">
        <v>2886.82</v>
      </c>
      <c r="K44" s="12">
        <v>3440.9900000000002</v>
      </c>
      <c r="L44" s="12">
        <v>4279.0200000000004</v>
      </c>
      <c r="M44" s="12">
        <v>3707.5699999999997</v>
      </c>
      <c r="N44" s="12">
        <v>3113.3</v>
      </c>
      <c r="O44" s="12">
        <v>2842.44</v>
      </c>
      <c r="P44" s="12">
        <v>3338.52</v>
      </c>
      <c r="Q44" s="12">
        <v>3760.88</v>
      </c>
      <c r="R44" s="12">
        <v>3082.9700000000003</v>
      </c>
      <c r="S44" s="12">
        <v>5510.04</v>
      </c>
      <c r="T44" s="12">
        <v>4386.5599999999995</v>
      </c>
      <c r="U44" s="12">
        <v>3938.43</v>
      </c>
      <c r="V44" s="12">
        <v>3503.9300000000003</v>
      </c>
      <c r="W44" s="12">
        <v>4187.5</v>
      </c>
      <c r="X44" s="12">
        <v>3582.12</v>
      </c>
      <c r="Y44" s="12">
        <v>-905.52999999999986</v>
      </c>
      <c r="Z44" s="12">
        <v>2985.5299999999997</v>
      </c>
      <c r="AA44" s="12">
        <v>3640.75</v>
      </c>
      <c r="AB44" s="12">
        <v>4290.12</v>
      </c>
      <c r="AC44" s="12">
        <v>3770.8900000000003</v>
      </c>
      <c r="AD44" s="12">
        <v>3977.04</v>
      </c>
      <c r="AE44" s="12">
        <v>3799.7799999999997</v>
      </c>
      <c r="AF44" s="12">
        <v>3305.54</v>
      </c>
      <c r="AG44" s="12">
        <v>3848.04</v>
      </c>
      <c r="AH44" s="12">
        <v>4155.09</v>
      </c>
      <c r="AI44" s="12">
        <v>6298.8499999999995</v>
      </c>
      <c r="AJ44" s="12">
        <v>5527.05</v>
      </c>
      <c r="AK44" s="12">
        <v>716.6</v>
      </c>
      <c r="AL44" s="12">
        <v>4972.96</v>
      </c>
      <c r="AM44" s="12">
        <v>5676.2999999999993</v>
      </c>
      <c r="AN44" s="12">
        <v>7137.3899999999994</v>
      </c>
      <c r="AO44" s="12">
        <v>7954.3</v>
      </c>
      <c r="AP44" s="12">
        <v>7089.18</v>
      </c>
      <c r="AQ44" s="12">
        <v>7227.9000000000005</v>
      </c>
      <c r="AR44" s="12">
        <v>8284.81</v>
      </c>
      <c r="AS44" s="12">
        <v>11137.179999999998</v>
      </c>
      <c r="AT44" s="12">
        <v>9656.4600000000009</v>
      </c>
      <c r="AU44" s="12">
        <v>9158.81</v>
      </c>
      <c r="AV44" s="12">
        <v>9727.5499999999993</v>
      </c>
      <c r="AW44" s="12">
        <v>1932.6100000000001</v>
      </c>
      <c r="AX44" s="12">
        <v>6647.4000000000005</v>
      </c>
      <c r="AY44" s="12">
        <v>7634.46</v>
      </c>
      <c r="AZ44" s="12">
        <v>9457.5600000000013</v>
      </c>
      <c r="BA44" s="12">
        <v>8998.6299999999992</v>
      </c>
      <c r="BB44" s="12">
        <v>9109.66</v>
      </c>
      <c r="BC44" s="12">
        <v>7906.1399999999994</v>
      </c>
      <c r="BD44" s="12">
        <v>8906.6200000000008</v>
      </c>
      <c r="BE44" s="12">
        <v>8205.3799999999992</v>
      </c>
      <c r="BF44" s="12">
        <v>8967.52</v>
      </c>
      <c r="BG44" s="12">
        <v>6140.2800000000007</v>
      </c>
      <c r="BH44" s="12">
        <v>6190.3799999999992</v>
      </c>
      <c r="BI44" s="12">
        <v>3230.7</v>
      </c>
      <c r="BJ44" s="12">
        <v>8395.9699999999993</v>
      </c>
      <c r="BK44" s="12">
        <v>5873.29</v>
      </c>
      <c r="BL44" s="12">
        <v>4573.05</v>
      </c>
      <c r="BM44" s="12">
        <v>5550.13</v>
      </c>
      <c r="BN44" s="12">
        <v>6379.6900000000005</v>
      </c>
      <c r="BO44" s="12">
        <v>6173.89</v>
      </c>
      <c r="BP44" s="12">
        <v>5661.12</v>
      </c>
      <c r="BQ44" s="12">
        <v>5732.2300000000005</v>
      </c>
      <c r="BR44" s="12">
        <v>5441.21</v>
      </c>
      <c r="BS44" s="12">
        <v>4961.6100000000006</v>
      </c>
      <c r="BT44" s="12">
        <v>5132.3399999999992</v>
      </c>
      <c r="BU44" s="12">
        <v>-1891.28</v>
      </c>
      <c r="BV44" s="12">
        <v>6151.26</v>
      </c>
      <c r="BW44" s="12">
        <v>7500.59</v>
      </c>
      <c r="BX44" s="12">
        <v>5256.12</v>
      </c>
      <c r="BY44" s="12">
        <v>6147.14</v>
      </c>
      <c r="BZ44" s="12">
        <v>7128.52</v>
      </c>
      <c r="CA44" s="20"/>
      <c r="CB44" s="12"/>
      <c r="CC44" s="12"/>
      <c r="CD44" s="12"/>
      <c r="CE44" s="12"/>
      <c r="CF44" s="12"/>
      <c r="CG44" s="12"/>
      <c r="CH44" s="12">
        <v>4334.8140000000003</v>
      </c>
      <c r="CI44" s="12">
        <v>4522.2180799999996</v>
      </c>
      <c r="CJ44" s="12">
        <v>4501.2007999999996</v>
      </c>
      <c r="CK44" s="12">
        <v>4487.8898559999998</v>
      </c>
      <c r="CL44" s="12">
        <v>4386.6566240000002</v>
      </c>
      <c r="CM44" s="12">
        <v>4164.9243200000001</v>
      </c>
      <c r="CN44" s="12">
        <v>4164.9243200000001</v>
      </c>
      <c r="CO44" s="12">
        <v>4164.9243200000001</v>
      </c>
      <c r="CP44" s="12">
        <v>4164.9243200000001</v>
      </c>
      <c r="CQ44" s="12">
        <v>4164.9243200000001</v>
      </c>
      <c r="CR44" s="12">
        <v>4164.9243200000001</v>
      </c>
      <c r="CS44" s="12">
        <v>4164.9243200000001</v>
      </c>
    </row>
    <row r="45" spans="1:97" x14ac:dyDescent="0.3">
      <c r="A45" s="4" t="s">
        <v>15</v>
      </c>
      <c r="B45" s="12">
        <v>0</v>
      </c>
      <c r="C45" s="12">
        <v>0</v>
      </c>
      <c r="D45" s="12">
        <v>0</v>
      </c>
      <c r="E45" s="12">
        <v>0</v>
      </c>
      <c r="F45" s="12">
        <v>0</v>
      </c>
      <c r="G45" s="12">
        <v>0</v>
      </c>
      <c r="H45" s="12">
        <v>0</v>
      </c>
      <c r="I45" s="12">
        <v>0</v>
      </c>
      <c r="J45" s="12">
        <v>0</v>
      </c>
      <c r="K45" s="12">
        <v>0</v>
      </c>
      <c r="L45" s="12">
        <v>0</v>
      </c>
      <c r="M45" s="12">
        <v>0</v>
      </c>
      <c r="N45" s="12">
        <v>0</v>
      </c>
      <c r="O45" s="12">
        <v>0</v>
      </c>
      <c r="P45" s="12">
        <v>0</v>
      </c>
      <c r="Q45" s="12">
        <v>0</v>
      </c>
      <c r="R45" s="12">
        <v>0</v>
      </c>
      <c r="S45" s="12">
        <v>0</v>
      </c>
      <c r="T45" s="12">
        <v>0</v>
      </c>
      <c r="U45" s="12">
        <v>0</v>
      </c>
      <c r="V45" s="12">
        <v>0</v>
      </c>
      <c r="W45" s="12">
        <v>0</v>
      </c>
      <c r="X45" s="12">
        <v>0</v>
      </c>
      <c r="Y45" s="12">
        <v>0</v>
      </c>
      <c r="Z45" s="12">
        <v>0</v>
      </c>
      <c r="AA45" s="12">
        <v>0</v>
      </c>
      <c r="AB45" s="12">
        <v>0</v>
      </c>
      <c r="AC45" s="12">
        <v>0</v>
      </c>
      <c r="AD45" s="12">
        <v>0</v>
      </c>
      <c r="AE45" s="12">
        <v>0</v>
      </c>
      <c r="AF45" s="12">
        <v>0</v>
      </c>
      <c r="AG45" s="12">
        <v>0</v>
      </c>
      <c r="AH45" s="12">
        <v>0</v>
      </c>
      <c r="AI45" s="12">
        <v>0</v>
      </c>
      <c r="AJ45" s="12">
        <v>0</v>
      </c>
      <c r="AK45" s="12">
        <v>0</v>
      </c>
      <c r="AL45" s="12">
        <v>0</v>
      </c>
      <c r="AM45" s="12">
        <v>0</v>
      </c>
      <c r="AN45" s="12">
        <v>0</v>
      </c>
      <c r="AO45" s="12">
        <v>0</v>
      </c>
      <c r="AP45" s="12">
        <v>0</v>
      </c>
      <c r="AQ45" s="12">
        <v>0</v>
      </c>
      <c r="AR45" s="12">
        <v>0</v>
      </c>
      <c r="AS45" s="12">
        <v>0</v>
      </c>
      <c r="AT45" s="12">
        <v>0</v>
      </c>
      <c r="AU45" s="12">
        <v>0</v>
      </c>
      <c r="AV45" s="12">
        <v>0</v>
      </c>
      <c r="AW45" s="12">
        <v>0</v>
      </c>
      <c r="AX45" s="12">
        <v>0</v>
      </c>
      <c r="AY45" s="12">
        <v>0</v>
      </c>
      <c r="AZ45" s="12">
        <v>0</v>
      </c>
      <c r="BA45" s="12">
        <v>0</v>
      </c>
      <c r="BB45" s="12">
        <v>0</v>
      </c>
      <c r="BC45" s="12">
        <v>0</v>
      </c>
      <c r="BD45" s="12">
        <v>0</v>
      </c>
      <c r="BE45" s="12">
        <v>0</v>
      </c>
      <c r="BF45" s="12">
        <v>0</v>
      </c>
      <c r="BG45" s="12">
        <v>0</v>
      </c>
      <c r="BH45" s="12">
        <v>0</v>
      </c>
      <c r="BI45" s="12">
        <v>0</v>
      </c>
      <c r="BJ45" s="12">
        <v>0</v>
      </c>
      <c r="BK45" s="12">
        <v>0</v>
      </c>
      <c r="BL45" s="12">
        <v>0</v>
      </c>
      <c r="BM45" s="12">
        <v>0</v>
      </c>
      <c r="BN45" s="12">
        <v>0</v>
      </c>
      <c r="BO45" s="12">
        <v>0</v>
      </c>
      <c r="BP45" s="12">
        <v>0</v>
      </c>
      <c r="BQ45" s="12">
        <v>0</v>
      </c>
      <c r="BR45" s="12">
        <v>0</v>
      </c>
      <c r="BS45" s="12">
        <v>0</v>
      </c>
      <c r="BT45" s="12">
        <v>0</v>
      </c>
      <c r="BU45" s="12">
        <v>0</v>
      </c>
      <c r="BV45" s="12">
        <v>0</v>
      </c>
      <c r="BW45" s="12">
        <v>0</v>
      </c>
      <c r="BX45" s="12">
        <v>0</v>
      </c>
      <c r="BY45" s="12">
        <v>0</v>
      </c>
      <c r="BZ45" s="12">
        <v>0</v>
      </c>
      <c r="CA45" s="20"/>
      <c r="CB45" s="12"/>
      <c r="CC45" s="12"/>
      <c r="CD45" s="12"/>
      <c r="CE45" s="12"/>
      <c r="CF45" s="12"/>
      <c r="CG45" s="12"/>
      <c r="CH45" s="12">
        <v>0</v>
      </c>
      <c r="CI45" s="12">
        <v>0</v>
      </c>
      <c r="CJ45" s="12">
        <v>0</v>
      </c>
      <c r="CK45" s="12">
        <v>0</v>
      </c>
      <c r="CL45" s="12">
        <v>0</v>
      </c>
      <c r="CM45" s="12">
        <v>0</v>
      </c>
      <c r="CN45" s="12">
        <v>0</v>
      </c>
      <c r="CO45" s="12">
        <v>0</v>
      </c>
      <c r="CP45" s="12">
        <v>0</v>
      </c>
      <c r="CQ45" s="12">
        <v>0</v>
      </c>
      <c r="CR45" s="12">
        <v>0</v>
      </c>
      <c r="CS45" s="12">
        <v>0</v>
      </c>
    </row>
    <row r="46" spans="1:97" x14ac:dyDescent="0.3">
      <c r="A46" s="4"/>
      <c r="CA46" s="20"/>
    </row>
    <row r="47" spans="1:97" x14ac:dyDescent="0.3">
      <c r="A47" s="6" t="s">
        <v>58</v>
      </c>
      <c r="B47" s="9">
        <f>B43+B44+B45</f>
        <v>66269.53</v>
      </c>
      <c r="C47" s="9">
        <f t="shared" ref="C47:BM47" si="35">C43+C44+C45</f>
        <v>35606.01</v>
      </c>
      <c r="D47" s="9">
        <f t="shared" si="35"/>
        <v>45225.42</v>
      </c>
      <c r="E47" s="9">
        <f t="shared" si="35"/>
        <v>42925.94</v>
      </c>
      <c r="F47" s="9">
        <f t="shared" si="35"/>
        <v>45474.979999999996</v>
      </c>
      <c r="G47" s="9">
        <f t="shared" si="35"/>
        <v>44693.04</v>
      </c>
      <c r="H47" s="9">
        <f t="shared" si="35"/>
        <v>49403.44</v>
      </c>
      <c r="I47" s="9">
        <f t="shared" si="35"/>
        <v>51118.91</v>
      </c>
      <c r="J47" s="9">
        <f t="shared" si="35"/>
        <v>49766.23</v>
      </c>
      <c r="K47" s="9">
        <f t="shared" si="35"/>
        <v>47148.03</v>
      </c>
      <c r="L47" s="9">
        <f t="shared" si="35"/>
        <v>45187.680000000008</v>
      </c>
      <c r="M47" s="9">
        <f t="shared" si="35"/>
        <v>45019.07</v>
      </c>
      <c r="N47" s="9">
        <f t="shared" si="35"/>
        <v>44255.570000000007</v>
      </c>
      <c r="O47" s="9">
        <f t="shared" si="35"/>
        <v>41499.99</v>
      </c>
      <c r="P47" s="9">
        <f t="shared" si="35"/>
        <v>44789.07</v>
      </c>
      <c r="Q47" s="9">
        <f t="shared" si="35"/>
        <v>45091.09</v>
      </c>
      <c r="R47" s="9">
        <f t="shared" si="35"/>
        <v>42465.69</v>
      </c>
      <c r="S47" s="9">
        <f t="shared" si="35"/>
        <v>53706.51</v>
      </c>
      <c r="T47" s="9">
        <f t="shared" si="35"/>
        <v>46213.86</v>
      </c>
      <c r="U47" s="9">
        <f t="shared" si="35"/>
        <v>46377.3</v>
      </c>
      <c r="V47" s="9">
        <f t="shared" si="35"/>
        <v>46107.979999999996</v>
      </c>
      <c r="W47" s="9">
        <f t="shared" si="35"/>
        <v>46214.05</v>
      </c>
      <c r="X47" s="9">
        <f t="shared" si="35"/>
        <v>43797.200000000004</v>
      </c>
      <c r="Y47" s="9">
        <f t="shared" si="35"/>
        <v>7767.9400000000014</v>
      </c>
      <c r="Z47" s="9">
        <f t="shared" si="35"/>
        <v>35139.620000000003</v>
      </c>
      <c r="AA47" s="9">
        <f t="shared" si="35"/>
        <v>33759.119999999995</v>
      </c>
      <c r="AB47" s="9">
        <f t="shared" si="35"/>
        <v>37402.28</v>
      </c>
      <c r="AC47" s="9">
        <f t="shared" si="35"/>
        <v>38205.699999999997</v>
      </c>
      <c r="AD47" s="9">
        <f t="shared" si="35"/>
        <v>39861.160000000003</v>
      </c>
      <c r="AE47" s="9">
        <f t="shared" si="35"/>
        <v>35910.49</v>
      </c>
      <c r="AF47" s="9">
        <f t="shared" si="35"/>
        <v>38367.96</v>
      </c>
      <c r="AG47" s="9">
        <f t="shared" si="35"/>
        <v>35188.1</v>
      </c>
      <c r="AH47" s="9">
        <f t="shared" si="35"/>
        <v>35519.960000000006</v>
      </c>
      <c r="AI47" s="9">
        <f t="shared" si="35"/>
        <v>41798.43</v>
      </c>
      <c r="AJ47" s="9">
        <f t="shared" si="35"/>
        <v>44082.66</v>
      </c>
      <c r="AK47" s="9">
        <f t="shared" si="35"/>
        <v>26927.62</v>
      </c>
      <c r="AL47" s="9">
        <f t="shared" si="35"/>
        <v>44514.869999999995</v>
      </c>
      <c r="AM47" s="9">
        <f t="shared" si="35"/>
        <v>46384.520000000004</v>
      </c>
      <c r="AN47" s="9">
        <f t="shared" si="35"/>
        <v>50627.590000000004</v>
      </c>
      <c r="AO47" s="9">
        <f t="shared" si="35"/>
        <v>60201.66</v>
      </c>
      <c r="AP47" s="9">
        <f t="shared" si="35"/>
        <v>57265.98</v>
      </c>
      <c r="AQ47" s="9">
        <f t="shared" si="35"/>
        <v>61792.69</v>
      </c>
      <c r="AR47" s="9">
        <f t="shared" si="35"/>
        <v>71353.61</v>
      </c>
      <c r="AS47" s="9">
        <f t="shared" si="35"/>
        <v>89149.829999999987</v>
      </c>
      <c r="AT47" s="9">
        <f t="shared" si="35"/>
        <v>85715.930000000008</v>
      </c>
      <c r="AU47" s="9">
        <f t="shared" si="35"/>
        <v>85857.959999999992</v>
      </c>
      <c r="AV47" s="9">
        <f t="shared" si="35"/>
        <v>113628.35</v>
      </c>
      <c r="AW47" s="9">
        <f t="shared" si="35"/>
        <v>97387.680000000008</v>
      </c>
      <c r="AX47" s="9">
        <f t="shared" si="35"/>
        <v>128378.38999999998</v>
      </c>
      <c r="AY47" s="9">
        <f t="shared" si="35"/>
        <v>124501.29000000001</v>
      </c>
      <c r="AZ47" s="9">
        <f t="shared" si="35"/>
        <v>135015.31</v>
      </c>
      <c r="BA47" s="9">
        <f t="shared" si="35"/>
        <v>130319.26000000001</v>
      </c>
      <c r="BB47" s="9">
        <f t="shared" si="35"/>
        <v>132709.97</v>
      </c>
      <c r="BC47" s="9">
        <f t="shared" si="35"/>
        <v>126660.89</v>
      </c>
      <c r="BD47" s="9">
        <f t="shared" si="35"/>
        <v>121894.20999999999</v>
      </c>
      <c r="BE47" s="9">
        <f t="shared" si="35"/>
        <v>115600.9</v>
      </c>
      <c r="BF47" s="9">
        <f t="shared" si="35"/>
        <v>113393.34000000001</v>
      </c>
      <c r="BG47" s="9">
        <f t="shared" si="35"/>
        <v>106911.06</v>
      </c>
      <c r="BH47" s="9">
        <f t="shared" si="35"/>
        <v>90241.99</v>
      </c>
      <c r="BI47" s="9">
        <f t="shared" si="35"/>
        <v>-97513.849999999991</v>
      </c>
      <c r="BJ47" s="9">
        <f t="shared" si="35"/>
        <v>109287.09</v>
      </c>
      <c r="BK47" s="9">
        <f t="shared" si="35"/>
        <v>87572.62999999999</v>
      </c>
      <c r="BL47" s="9">
        <f t="shared" si="35"/>
        <v>85199.37000000001</v>
      </c>
      <c r="BM47" s="9">
        <f t="shared" si="35"/>
        <v>78534.19</v>
      </c>
      <c r="BN47" s="9">
        <f t="shared" ref="BN47:BU47" si="36">BN43+BN44+BN45</f>
        <v>79541.89</v>
      </c>
      <c r="BO47" s="9">
        <f t="shared" si="36"/>
        <v>90223</v>
      </c>
      <c r="BP47" s="9">
        <f t="shared" si="36"/>
        <v>56522.080000000002</v>
      </c>
      <c r="BQ47" s="9">
        <f t="shared" si="36"/>
        <v>81210.98</v>
      </c>
      <c r="BR47" s="9">
        <f t="shared" si="36"/>
        <v>87993.950000000012</v>
      </c>
      <c r="BS47" s="9">
        <f t="shared" si="36"/>
        <v>74728.61</v>
      </c>
      <c r="BT47" s="9">
        <f t="shared" si="36"/>
        <v>70324.22</v>
      </c>
      <c r="BU47" s="9">
        <f t="shared" si="36"/>
        <v>59342.67</v>
      </c>
      <c r="BV47" s="9">
        <f>BV43+BV44+BV45</f>
        <v>79675.199999999997</v>
      </c>
      <c r="BW47" s="9">
        <f t="shared" ref="BW47:BY47" si="37">BW43+BW44+BW45</f>
        <v>54358.11</v>
      </c>
      <c r="BX47" s="9">
        <f t="shared" si="37"/>
        <v>72282.75</v>
      </c>
      <c r="BY47" s="9">
        <f t="shared" si="37"/>
        <v>60923.39</v>
      </c>
      <c r="BZ47" s="9">
        <f t="shared" ref="BZ47" si="38">BZ43+BZ44+BZ45</f>
        <v>61835.259999999995</v>
      </c>
      <c r="CA47" s="20"/>
      <c r="CB47" s="9"/>
      <c r="CC47" s="9"/>
      <c r="CD47" s="9"/>
      <c r="CE47" s="9"/>
      <c r="CF47" s="9"/>
      <c r="CG47" s="9"/>
      <c r="CH47" s="9">
        <f>CH43+CH44+CH45</f>
        <v>84772.313999999998</v>
      </c>
      <c r="CI47" s="9">
        <f t="shared" ref="CI47:CS47" si="39">CI43+CI44+CI45</f>
        <v>88437.218080000006</v>
      </c>
      <c r="CJ47" s="9">
        <f t="shared" si="39"/>
        <v>88026.200800000006</v>
      </c>
      <c r="CK47" s="9">
        <f t="shared" si="39"/>
        <v>87765.889855999994</v>
      </c>
      <c r="CL47" s="9">
        <f t="shared" si="39"/>
        <v>85786.156623999996</v>
      </c>
      <c r="CM47" s="9">
        <f t="shared" si="39"/>
        <v>74728.61</v>
      </c>
      <c r="CN47" s="9">
        <f t="shared" si="39"/>
        <v>74728.61</v>
      </c>
      <c r="CO47" s="9">
        <f t="shared" si="39"/>
        <v>74728.61</v>
      </c>
      <c r="CP47" s="9">
        <f t="shared" si="39"/>
        <v>74728.61</v>
      </c>
      <c r="CQ47" s="9">
        <f t="shared" si="39"/>
        <v>74728.61</v>
      </c>
      <c r="CR47" s="9">
        <f t="shared" si="39"/>
        <v>74728.61</v>
      </c>
      <c r="CS47" s="9">
        <f t="shared" si="39"/>
        <v>74728.61</v>
      </c>
    </row>
    <row r="48" spans="1:97" x14ac:dyDescent="0.3">
      <c r="A48" s="4"/>
      <c r="CA48" s="20"/>
    </row>
    <row r="49" spans="1:97" x14ac:dyDescent="0.3">
      <c r="A49" s="4" t="s">
        <v>39</v>
      </c>
      <c r="B49" s="12">
        <v>0</v>
      </c>
      <c r="C49" s="12">
        <v>0</v>
      </c>
      <c r="D49" s="12">
        <v>0</v>
      </c>
      <c r="E49" s="12">
        <v>0</v>
      </c>
      <c r="F49" s="12">
        <v>0</v>
      </c>
      <c r="G49" s="12">
        <v>0</v>
      </c>
      <c r="H49" s="12">
        <v>0</v>
      </c>
      <c r="I49" s="12">
        <v>0</v>
      </c>
      <c r="J49" s="12">
        <v>0</v>
      </c>
      <c r="K49" s="12">
        <v>0</v>
      </c>
      <c r="L49" s="12">
        <v>0</v>
      </c>
      <c r="M49" s="12">
        <v>0</v>
      </c>
      <c r="N49" s="12">
        <v>0</v>
      </c>
      <c r="O49" s="12">
        <v>0</v>
      </c>
      <c r="P49" s="12">
        <v>0</v>
      </c>
      <c r="Q49" s="12">
        <v>0</v>
      </c>
      <c r="R49" s="12">
        <v>0</v>
      </c>
      <c r="S49" s="12">
        <v>0</v>
      </c>
      <c r="T49" s="12">
        <v>0</v>
      </c>
      <c r="U49" s="12">
        <v>0</v>
      </c>
      <c r="V49" s="12">
        <v>0</v>
      </c>
      <c r="W49" s="12">
        <v>0</v>
      </c>
      <c r="X49" s="12">
        <v>0</v>
      </c>
      <c r="Y49" s="12">
        <v>0</v>
      </c>
      <c r="Z49" s="12">
        <v>0</v>
      </c>
      <c r="AA49" s="12">
        <v>0</v>
      </c>
      <c r="AB49" s="12">
        <v>0</v>
      </c>
      <c r="AC49" s="12">
        <v>0</v>
      </c>
      <c r="AD49" s="12">
        <v>0</v>
      </c>
      <c r="AE49" s="12">
        <v>0</v>
      </c>
      <c r="AF49" s="12">
        <v>0</v>
      </c>
      <c r="AG49" s="12">
        <v>0</v>
      </c>
      <c r="AH49" s="12">
        <v>0</v>
      </c>
      <c r="AI49" s="12">
        <v>0</v>
      </c>
      <c r="AJ49" s="12">
        <v>0</v>
      </c>
      <c r="AK49" s="12">
        <v>0</v>
      </c>
      <c r="AL49" s="12">
        <v>0</v>
      </c>
      <c r="AM49" s="12">
        <v>0</v>
      </c>
      <c r="AN49" s="12">
        <v>0</v>
      </c>
      <c r="AO49" s="12">
        <v>0</v>
      </c>
      <c r="AP49" s="12">
        <v>0</v>
      </c>
      <c r="AQ49" s="12">
        <v>0</v>
      </c>
      <c r="AR49" s="12">
        <v>0</v>
      </c>
      <c r="AS49" s="12">
        <v>0</v>
      </c>
      <c r="AT49" s="12">
        <v>0</v>
      </c>
      <c r="AU49" s="12">
        <v>0</v>
      </c>
      <c r="AV49" s="12">
        <v>0</v>
      </c>
      <c r="AW49" s="12">
        <v>0</v>
      </c>
      <c r="AX49" s="12">
        <v>0</v>
      </c>
      <c r="AY49" s="12">
        <v>0</v>
      </c>
      <c r="AZ49" s="12">
        <v>0</v>
      </c>
      <c r="BA49" s="12">
        <v>0</v>
      </c>
      <c r="BB49" s="12">
        <v>0</v>
      </c>
      <c r="BC49" s="12">
        <v>0</v>
      </c>
      <c r="BD49" s="12">
        <v>0</v>
      </c>
      <c r="BE49" s="12">
        <v>0</v>
      </c>
      <c r="BF49" s="12">
        <v>94146</v>
      </c>
      <c r="BG49" s="12">
        <v>94146</v>
      </c>
      <c r="BH49" s="12">
        <v>94146</v>
      </c>
      <c r="BI49" s="12">
        <v>722990</v>
      </c>
      <c r="BJ49" s="12">
        <v>0</v>
      </c>
      <c r="BK49" s="12">
        <v>0</v>
      </c>
      <c r="BL49" s="12">
        <v>0</v>
      </c>
      <c r="BM49" s="12">
        <v>0</v>
      </c>
      <c r="BN49" s="12">
        <v>0</v>
      </c>
      <c r="BO49" s="12">
        <v>0</v>
      </c>
      <c r="BP49" s="12">
        <v>0</v>
      </c>
      <c r="BQ49" s="12">
        <v>0</v>
      </c>
      <c r="BR49" s="12">
        <v>0</v>
      </c>
      <c r="BS49" s="12">
        <v>0</v>
      </c>
      <c r="BT49" s="12">
        <v>0</v>
      </c>
      <c r="BU49" s="12">
        <v>0</v>
      </c>
      <c r="BV49" s="12">
        <v>0</v>
      </c>
      <c r="BW49" s="12">
        <v>0</v>
      </c>
      <c r="BX49" s="12">
        <v>0</v>
      </c>
      <c r="BY49" s="12">
        <v>0</v>
      </c>
      <c r="BZ49" s="12">
        <v>0</v>
      </c>
      <c r="CA49" s="20"/>
      <c r="CB49" s="12"/>
      <c r="CC49" s="12"/>
      <c r="CD49" s="12"/>
      <c r="CE49" s="12"/>
      <c r="CF49" s="12"/>
      <c r="CG49" s="12"/>
      <c r="CH49" s="12">
        <v>0</v>
      </c>
      <c r="CI49" s="12">
        <v>0</v>
      </c>
      <c r="CJ49" s="12">
        <v>0</v>
      </c>
      <c r="CK49" s="12">
        <v>0</v>
      </c>
      <c r="CL49" s="12">
        <v>0</v>
      </c>
      <c r="CM49" s="12">
        <v>0</v>
      </c>
      <c r="CN49" s="12">
        <v>0</v>
      </c>
      <c r="CO49" s="12">
        <v>0</v>
      </c>
      <c r="CP49" s="12">
        <v>0</v>
      </c>
      <c r="CQ49" s="12">
        <v>0</v>
      </c>
      <c r="CR49" s="12">
        <v>0</v>
      </c>
      <c r="CS49" s="12">
        <v>0</v>
      </c>
    </row>
    <row r="50" spans="1:97" x14ac:dyDescent="0.3">
      <c r="A50" s="29" t="s">
        <v>61</v>
      </c>
      <c r="B50" s="12">
        <v>0</v>
      </c>
      <c r="C50" s="12">
        <v>22000</v>
      </c>
      <c r="D50" s="12">
        <v>22000</v>
      </c>
      <c r="E50" s="12">
        <v>42483</v>
      </c>
      <c r="F50" s="12">
        <v>42483</v>
      </c>
      <c r="G50" s="12">
        <v>42483</v>
      </c>
      <c r="H50" s="12">
        <v>22000</v>
      </c>
      <c r="I50" s="12">
        <v>22000</v>
      </c>
      <c r="J50" s="12">
        <v>22000</v>
      </c>
      <c r="K50" s="12">
        <v>22000</v>
      </c>
      <c r="L50" s="12">
        <v>22000</v>
      </c>
      <c r="M50" s="12">
        <v>-177042.06</v>
      </c>
      <c r="N50" s="12">
        <v>9757.42</v>
      </c>
      <c r="O50" s="12">
        <v>9757.42</v>
      </c>
      <c r="P50" s="12">
        <v>9757.42</v>
      </c>
      <c r="Q50" s="12">
        <v>9757.42</v>
      </c>
      <c r="R50" s="12">
        <v>9757.42</v>
      </c>
      <c r="S50" s="12">
        <v>9757.42</v>
      </c>
      <c r="T50" s="12">
        <v>9757.42</v>
      </c>
      <c r="U50" s="12">
        <v>9757.42</v>
      </c>
      <c r="V50" s="12">
        <v>9757.42</v>
      </c>
      <c r="W50" s="12">
        <v>20000</v>
      </c>
      <c r="X50" s="12">
        <v>20000</v>
      </c>
      <c r="Y50" s="12">
        <v>-9188.31</v>
      </c>
      <c r="Z50" s="12">
        <v>20000</v>
      </c>
      <c r="AA50" s="12">
        <v>20000</v>
      </c>
      <c r="AB50" s="12">
        <v>20000</v>
      </c>
      <c r="AC50" s="12">
        <v>20000</v>
      </c>
      <c r="AD50" s="12">
        <v>20000</v>
      </c>
      <c r="AE50" s="12">
        <v>20000</v>
      </c>
      <c r="AF50" s="12">
        <v>20000</v>
      </c>
      <c r="AG50" s="12">
        <v>20000</v>
      </c>
      <c r="AH50" s="12">
        <v>20000</v>
      </c>
      <c r="AI50" s="12">
        <v>20000</v>
      </c>
      <c r="AJ50" s="12">
        <v>20000</v>
      </c>
      <c r="AK50" s="12">
        <v>-94487.65</v>
      </c>
      <c r="AL50" s="12">
        <v>20000</v>
      </c>
      <c r="AM50" s="12">
        <v>20000</v>
      </c>
      <c r="AN50" s="12">
        <v>20000</v>
      </c>
      <c r="AO50" s="12">
        <v>20000</v>
      </c>
      <c r="AP50" s="12">
        <v>20000</v>
      </c>
      <c r="AQ50" s="12">
        <v>20000</v>
      </c>
      <c r="AR50" s="12">
        <v>20000</v>
      </c>
      <c r="AS50" s="12">
        <v>20000</v>
      </c>
      <c r="AT50" s="12">
        <v>20000</v>
      </c>
      <c r="AU50" s="12">
        <v>20000</v>
      </c>
      <c r="AV50" s="12">
        <v>20000</v>
      </c>
      <c r="AW50" s="12">
        <v>-48022.12</v>
      </c>
      <c r="AX50" s="12">
        <v>20000</v>
      </c>
      <c r="AY50" s="12">
        <v>20000</v>
      </c>
      <c r="AZ50" s="12">
        <v>20000</v>
      </c>
      <c r="BA50" s="12">
        <v>20000</v>
      </c>
      <c r="BB50" s="12">
        <v>20000</v>
      </c>
      <c r="BC50" s="12">
        <v>20000</v>
      </c>
      <c r="BD50" s="12">
        <v>20000</v>
      </c>
      <c r="BE50" s="12">
        <v>20000</v>
      </c>
      <c r="BF50" s="12">
        <v>20000</v>
      </c>
      <c r="BG50" s="12">
        <v>20000</v>
      </c>
      <c r="BH50" s="12">
        <v>20000</v>
      </c>
      <c r="BI50" s="12">
        <v>-136839.57</v>
      </c>
      <c r="BJ50" s="12">
        <v>20000</v>
      </c>
      <c r="BK50" s="12">
        <v>20000</v>
      </c>
      <c r="BL50" s="12">
        <v>20000</v>
      </c>
      <c r="BM50" s="12">
        <v>20000</v>
      </c>
      <c r="BN50" s="12">
        <v>20000</v>
      </c>
      <c r="BO50" s="12">
        <v>20000</v>
      </c>
      <c r="BP50" s="12">
        <v>20000</v>
      </c>
      <c r="BQ50" s="12">
        <v>20000</v>
      </c>
      <c r="BR50" s="12">
        <v>20000</v>
      </c>
      <c r="BS50" s="12">
        <v>20000</v>
      </c>
      <c r="BT50" s="12">
        <v>20000</v>
      </c>
      <c r="BU50" s="12">
        <v>-154146</v>
      </c>
      <c r="BV50" s="12">
        <v>20000</v>
      </c>
      <c r="BW50" s="12">
        <v>20000</v>
      </c>
      <c r="BX50" s="12">
        <v>20000</v>
      </c>
      <c r="BY50" s="12">
        <v>20000</v>
      </c>
      <c r="BZ50" s="12">
        <v>20000</v>
      </c>
      <c r="CA50" s="20"/>
      <c r="CB50" s="12"/>
      <c r="CC50" s="12"/>
      <c r="CD50" s="12"/>
      <c r="CE50" s="12"/>
      <c r="CF50" s="12"/>
      <c r="CG50" s="12"/>
      <c r="CH50" s="12">
        <v>20000</v>
      </c>
      <c r="CI50" s="12">
        <v>20000</v>
      </c>
      <c r="CJ50" s="12">
        <v>20000</v>
      </c>
      <c r="CK50" s="12">
        <v>20000</v>
      </c>
      <c r="CL50" s="12">
        <v>20000</v>
      </c>
      <c r="CM50" s="12">
        <v>20000</v>
      </c>
      <c r="CN50" s="12">
        <v>20000</v>
      </c>
      <c r="CO50" s="12">
        <v>20000</v>
      </c>
      <c r="CP50" s="12">
        <v>20000</v>
      </c>
      <c r="CQ50" s="12">
        <v>20000</v>
      </c>
      <c r="CR50" s="12">
        <v>20000</v>
      </c>
      <c r="CS50" s="12">
        <v>20000</v>
      </c>
    </row>
    <row r="51" spans="1:97" x14ac:dyDescent="0.3">
      <c r="A51" s="4" t="s">
        <v>16</v>
      </c>
      <c r="B51" s="12">
        <v>24.5</v>
      </c>
      <c r="C51" s="12">
        <v>-38.64</v>
      </c>
      <c r="D51" s="12">
        <v>-1310.1300000000001</v>
      </c>
      <c r="E51" s="12">
        <v>-47.75</v>
      </c>
      <c r="F51" s="12">
        <v>0.04</v>
      </c>
      <c r="G51" s="12">
        <v>-13.45</v>
      </c>
      <c r="H51" s="12">
        <v>15.36</v>
      </c>
      <c r="I51" s="12">
        <v>4.42</v>
      </c>
      <c r="J51" s="12">
        <v>19.57</v>
      </c>
      <c r="K51" s="12">
        <v>1.21</v>
      </c>
      <c r="L51" s="12">
        <v>-27.75</v>
      </c>
      <c r="M51" s="12">
        <v>-2.25</v>
      </c>
      <c r="N51" s="12">
        <v>119.31</v>
      </c>
      <c r="O51" s="12">
        <v>75.17</v>
      </c>
      <c r="P51" s="12">
        <v>5.2</v>
      </c>
      <c r="Q51" s="12">
        <v>512.53</v>
      </c>
      <c r="R51" s="12">
        <v>227.94</v>
      </c>
      <c r="S51" s="12">
        <v>228.82</v>
      </c>
      <c r="T51" s="12">
        <v>-138.37</v>
      </c>
      <c r="U51" s="12">
        <v>-488.27</v>
      </c>
      <c r="V51" s="12">
        <v>-58.3</v>
      </c>
      <c r="W51" s="12">
        <v>9.91</v>
      </c>
      <c r="X51" s="12">
        <v>-7.33</v>
      </c>
      <c r="Y51" s="12">
        <v>139.65</v>
      </c>
      <c r="Z51" s="12">
        <v>-6.14</v>
      </c>
      <c r="AA51" s="12">
        <v>-32.729999999999997</v>
      </c>
      <c r="AB51" s="12">
        <v>-41.03</v>
      </c>
      <c r="AC51" s="12">
        <v>-34.11</v>
      </c>
      <c r="AD51" s="12">
        <v>-12.52</v>
      </c>
      <c r="AE51" s="12">
        <v>4.07</v>
      </c>
      <c r="AF51" s="12">
        <v>30.31</v>
      </c>
      <c r="AG51" s="12">
        <v>1.41</v>
      </c>
      <c r="AH51" s="12">
        <v>2.08</v>
      </c>
      <c r="AI51" s="12">
        <v>-4.9000000000000004</v>
      </c>
      <c r="AJ51" s="12">
        <v>3.13</v>
      </c>
      <c r="AK51" s="12">
        <v>152.66999999999999</v>
      </c>
      <c r="AL51" s="12">
        <v>17.75</v>
      </c>
      <c r="AM51" s="12">
        <v>-70.8</v>
      </c>
      <c r="AN51" s="12">
        <v>-60.79</v>
      </c>
      <c r="AO51" s="12">
        <v>-101.08</v>
      </c>
      <c r="AP51" s="12">
        <v>-121.09</v>
      </c>
      <c r="AQ51" s="12">
        <v>52.56</v>
      </c>
      <c r="AR51" s="12">
        <v>113.28</v>
      </c>
      <c r="AS51" s="12">
        <v>755.1</v>
      </c>
      <c r="AT51" s="12">
        <v>1527.53</v>
      </c>
      <c r="AU51" s="12">
        <v>285.83</v>
      </c>
      <c r="AV51" s="12">
        <v>238.75</v>
      </c>
      <c r="AW51" s="12">
        <v>164.06</v>
      </c>
      <c r="AX51" s="12">
        <v>-305.43</v>
      </c>
      <c r="AY51" s="12">
        <v>-580.05999999999995</v>
      </c>
      <c r="AZ51" s="12">
        <v>-217.9</v>
      </c>
      <c r="BA51" s="12">
        <v>-67.430000000000007</v>
      </c>
      <c r="BB51" s="12">
        <v>-264.63</v>
      </c>
      <c r="BC51" s="12">
        <v>-360.91</v>
      </c>
      <c r="BD51" s="12">
        <v>-395.88</v>
      </c>
      <c r="BE51" s="12">
        <v>-192.35</v>
      </c>
      <c r="BF51" s="12">
        <v>-110.34</v>
      </c>
      <c r="BG51" s="12">
        <v>38.69</v>
      </c>
      <c r="BH51" s="12">
        <v>-10.69</v>
      </c>
      <c r="BI51" s="12">
        <v>-6.16</v>
      </c>
      <c r="BJ51" s="12">
        <v>-46.18</v>
      </c>
      <c r="BK51" s="12">
        <v>-66.37</v>
      </c>
      <c r="BL51" s="12">
        <v>-8.7200000000000006</v>
      </c>
      <c r="BM51" s="12">
        <v>37.58</v>
      </c>
      <c r="BN51" s="12">
        <v>-9.19</v>
      </c>
      <c r="BO51" s="12">
        <v>-2.73</v>
      </c>
      <c r="BP51" s="12">
        <v>35.86</v>
      </c>
      <c r="BQ51" s="12">
        <v>160.88</v>
      </c>
      <c r="BR51" s="12">
        <v>102.3</v>
      </c>
      <c r="BS51" s="12">
        <v>212.31</v>
      </c>
      <c r="BT51" s="12">
        <v>2.84</v>
      </c>
      <c r="BU51" s="12">
        <v>180.71</v>
      </c>
      <c r="BV51" s="12">
        <v>-163.09</v>
      </c>
      <c r="BW51" s="12">
        <v>-279.45</v>
      </c>
      <c r="BX51" s="12">
        <v>-57.92</v>
      </c>
      <c r="BY51" s="12">
        <v>-104.65</v>
      </c>
      <c r="BZ51" s="12">
        <v>-82.06</v>
      </c>
      <c r="CA51" s="20"/>
      <c r="CB51" s="12"/>
      <c r="CC51" s="12"/>
      <c r="CD51" s="12"/>
      <c r="CE51" s="12"/>
      <c r="CF51" s="12"/>
      <c r="CG51" s="12"/>
      <c r="CH51" s="12">
        <v>0</v>
      </c>
      <c r="CI51" s="12">
        <v>0</v>
      </c>
      <c r="CJ51" s="12">
        <v>0</v>
      </c>
      <c r="CK51" s="12">
        <v>0</v>
      </c>
      <c r="CL51" s="12">
        <v>0</v>
      </c>
      <c r="CM51" s="12">
        <v>0</v>
      </c>
      <c r="CN51" s="12">
        <v>0</v>
      </c>
      <c r="CO51" s="12">
        <v>0</v>
      </c>
      <c r="CP51" s="12">
        <v>0</v>
      </c>
      <c r="CQ51" s="12">
        <v>0</v>
      </c>
      <c r="CR51" s="12">
        <v>0</v>
      </c>
      <c r="CS51" s="12">
        <v>0</v>
      </c>
    </row>
    <row r="52" spans="1:97" x14ac:dyDescent="0.3">
      <c r="A52" s="4" t="s">
        <v>59</v>
      </c>
      <c r="CA52" s="20"/>
    </row>
    <row r="53" spans="1:97" x14ac:dyDescent="0.3">
      <c r="A53" s="6" t="s">
        <v>18</v>
      </c>
      <c r="B53" s="13">
        <f>B51+B50+B49+B47+B41+B33+B32+B52</f>
        <v>248757.97999999998</v>
      </c>
      <c r="C53" s="13">
        <f t="shared" ref="C53:BN53" si="40">C51+C50+C49+C47+C41+C33+C32+C52</f>
        <v>263432.30999999994</v>
      </c>
      <c r="D53" s="13">
        <f t="shared" si="40"/>
        <v>258537.86000000002</v>
      </c>
      <c r="E53" s="13">
        <f t="shared" si="40"/>
        <v>267554.19999999995</v>
      </c>
      <c r="F53" s="13">
        <f t="shared" si="40"/>
        <v>282283.81</v>
      </c>
      <c r="G53" s="13">
        <f t="shared" si="40"/>
        <v>255992.74</v>
      </c>
      <c r="H53" s="13">
        <f t="shared" si="40"/>
        <v>248175.34</v>
      </c>
      <c r="I53" s="13">
        <f t="shared" si="40"/>
        <v>253822.66000000003</v>
      </c>
      <c r="J53" s="13">
        <f t="shared" si="40"/>
        <v>258298.52000000002</v>
      </c>
      <c r="K53" s="13">
        <f t="shared" si="40"/>
        <v>254896.52999999997</v>
      </c>
      <c r="L53" s="13">
        <f t="shared" si="40"/>
        <v>260410.56</v>
      </c>
      <c r="M53" s="13">
        <f t="shared" si="40"/>
        <v>-62356.32999999998</v>
      </c>
      <c r="N53" s="13">
        <f t="shared" si="40"/>
        <v>248570.35</v>
      </c>
      <c r="O53" s="13">
        <f t="shared" si="40"/>
        <v>238915.74</v>
      </c>
      <c r="P53" s="13">
        <f t="shared" si="40"/>
        <v>244455.02000000002</v>
      </c>
      <c r="Q53" s="13">
        <f t="shared" si="40"/>
        <v>225122.72999999998</v>
      </c>
      <c r="R53" s="13">
        <f t="shared" si="40"/>
        <v>216910.33000000002</v>
      </c>
      <c r="S53" s="13">
        <f t="shared" si="40"/>
        <v>242169.30999999994</v>
      </c>
      <c r="T53" s="13">
        <f t="shared" si="40"/>
        <v>217920.88999999996</v>
      </c>
      <c r="U53" s="13">
        <f t="shared" si="40"/>
        <v>261913.21000000002</v>
      </c>
      <c r="V53" s="13">
        <f t="shared" si="40"/>
        <v>271319.52999999997</v>
      </c>
      <c r="W53" s="13">
        <f t="shared" si="40"/>
        <v>270020.05</v>
      </c>
      <c r="X53" s="13">
        <f t="shared" si="40"/>
        <v>290362.65999999997</v>
      </c>
      <c r="Y53" s="13">
        <f t="shared" si="40"/>
        <v>119133.04000000001</v>
      </c>
      <c r="Z53" s="13">
        <f t="shared" si="40"/>
        <v>253915.71000000002</v>
      </c>
      <c r="AA53" s="13">
        <f t="shared" si="40"/>
        <v>280209.29000000004</v>
      </c>
      <c r="AB53" s="13">
        <f t="shared" si="40"/>
        <v>259619.65</v>
      </c>
      <c r="AC53" s="13">
        <f t="shared" si="40"/>
        <v>260696.71</v>
      </c>
      <c r="AD53" s="13">
        <f t="shared" si="40"/>
        <v>257191.69</v>
      </c>
      <c r="AE53" s="13">
        <f t="shared" si="40"/>
        <v>266578.39</v>
      </c>
      <c r="AF53" s="13">
        <f t="shared" si="40"/>
        <v>254294.53</v>
      </c>
      <c r="AG53" s="13">
        <f t="shared" si="40"/>
        <v>265169.28000000003</v>
      </c>
      <c r="AH53" s="13">
        <f t="shared" si="40"/>
        <v>248251.87000000002</v>
      </c>
      <c r="AI53" s="13">
        <f t="shared" si="40"/>
        <v>270475.69999999995</v>
      </c>
      <c r="AJ53" s="13">
        <f t="shared" si="40"/>
        <v>279115.65000000002</v>
      </c>
      <c r="AK53" s="13">
        <f t="shared" si="40"/>
        <v>-21586.790000000005</v>
      </c>
      <c r="AL53" s="13">
        <f t="shared" si="40"/>
        <v>273469.78000000003</v>
      </c>
      <c r="AM53" s="13">
        <f t="shared" si="40"/>
        <v>259848.93</v>
      </c>
      <c r="AN53" s="13">
        <f t="shared" si="40"/>
        <v>294185.84999999998</v>
      </c>
      <c r="AO53" s="13">
        <f t="shared" si="40"/>
        <v>303256.25</v>
      </c>
      <c r="AP53" s="13">
        <f t="shared" si="40"/>
        <v>295000.55</v>
      </c>
      <c r="AQ53" s="13">
        <f t="shared" si="40"/>
        <v>309748.58999999997</v>
      </c>
      <c r="AR53" s="13">
        <f t="shared" si="40"/>
        <v>297495.18999999994</v>
      </c>
      <c r="AS53" s="13">
        <f t="shared" si="40"/>
        <v>304017.65000000002</v>
      </c>
      <c r="AT53" s="13">
        <f t="shared" si="40"/>
        <v>303596.21000000002</v>
      </c>
      <c r="AU53" s="13">
        <f t="shared" si="40"/>
        <v>290323.13</v>
      </c>
      <c r="AV53" s="13">
        <f t="shared" si="40"/>
        <v>327946.81</v>
      </c>
      <c r="AW53" s="13">
        <f t="shared" si="40"/>
        <v>141241.16999999998</v>
      </c>
      <c r="AX53" s="13">
        <f t="shared" si="40"/>
        <v>365830.06999999995</v>
      </c>
      <c r="AY53" s="13">
        <f t="shared" si="40"/>
        <v>348724.47</v>
      </c>
      <c r="AZ53" s="13">
        <f t="shared" si="40"/>
        <v>358844.1</v>
      </c>
      <c r="BA53" s="13">
        <f t="shared" si="40"/>
        <v>348059.67000000004</v>
      </c>
      <c r="BB53" s="13">
        <f t="shared" si="40"/>
        <v>353718.39</v>
      </c>
      <c r="BC53" s="13">
        <f t="shared" si="40"/>
        <v>352118.85000000003</v>
      </c>
      <c r="BD53" s="13">
        <f t="shared" si="40"/>
        <v>326672.08999999997</v>
      </c>
      <c r="BE53" s="13">
        <f t="shared" si="40"/>
        <v>315591.63</v>
      </c>
      <c r="BF53" s="13">
        <f t="shared" si="40"/>
        <v>400309.72000000003</v>
      </c>
      <c r="BG53" s="13">
        <f t="shared" si="40"/>
        <v>406199.18999999994</v>
      </c>
      <c r="BH53" s="13">
        <f t="shared" si="40"/>
        <v>391880.78</v>
      </c>
      <c r="BI53" s="13">
        <f t="shared" si="40"/>
        <v>644678.3600000001</v>
      </c>
      <c r="BJ53" s="13">
        <f t="shared" si="40"/>
        <v>340681.65</v>
      </c>
      <c r="BK53" s="13">
        <f t="shared" si="40"/>
        <v>286362.67000000004</v>
      </c>
      <c r="BL53" s="13">
        <f t="shared" si="40"/>
        <v>287740.06</v>
      </c>
      <c r="BM53" s="13">
        <f t="shared" si="40"/>
        <v>265803.23</v>
      </c>
      <c r="BN53" s="13">
        <f t="shared" si="40"/>
        <v>292070.96000000002</v>
      </c>
      <c r="BO53" s="13">
        <f t="shared" ref="BO53:CS53" si="41">BO51+BO50+BO49+BO47+BO41+BO33+BO32+BO52</f>
        <v>281764.76999999996</v>
      </c>
      <c r="BP53" s="13">
        <f t="shared" si="41"/>
        <v>227717.45999999996</v>
      </c>
      <c r="BQ53" s="13">
        <f t="shared" si="41"/>
        <v>257566.49</v>
      </c>
      <c r="BR53" s="13">
        <f t="shared" si="41"/>
        <v>279496.57000000007</v>
      </c>
      <c r="BS53" s="13">
        <f t="shared" si="41"/>
        <v>251255.84</v>
      </c>
      <c r="BT53" s="13">
        <f t="shared" si="41"/>
        <v>271577.36000000004</v>
      </c>
      <c r="BU53" s="13">
        <f t="shared" si="41"/>
        <v>79842.929999999978</v>
      </c>
      <c r="BV53" s="13">
        <f t="shared" si="41"/>
        <v>315284.59999999998</v>
      </c>
      <c r="BW53" s="13">
        <f t="shared" si="41"/>
        <v>267818.27</v>
      </c>
      <c r="BX53" s="13">
        <f t="shared" si="41"/>
        <v>292487.75</v>
      </c>
      <c r="BY53" s="13">
        <f t="shared" si="41"/>
        <v>263230.7</v>
      </c>
      <c r="BZ53" s="13">
        <f t="shared" si="41"/>
        <v>270993.48</v>
      </c>
      <c r="CA53" s="13">
        <f t="shared" si="41"/>
        <v>0</v>
      </c>
      <c r="CB53" s="13">
        <f t="shared" si="41"/>
        <v>0</v>
      </c>
      <c r="CC53" s="13">
        <f t="shared" si="41"/>
        <v>0</v>
      </c>
      <c r="CD53" s="13">
        <f t="shared" si="41"/>
        <v>0</v>
      </c>
      <c r="CE53" s="13">
        <f t="shared" si="41"/>
        <v>0</v>
      </c>
      <c r="CF53" s="13">
        <f t="shared" si="41"/>
        <v>0</v>
      </c>
      <c r="CG53" s="13">
        <f t="shared" si="41"/>
        <v>0</v>
      </c>
      <c r="CH53" s="13">
        <f t="shared" si="41"/>
        <v>273072.31400000001</v>
      </c>
      <c r="CI53" s="13">
        <f t="shared" si="41"/>
        <v>284013.21808000002</v>
      </c>
      <c r="CJ53" s="13">
        <f t="shared" si="41"/>
        <v>282786.20079999999</v>
      </c>
      <c r="CK53" s="13">
        <f t="shared" si="41"/>
        <v>282009.08985600004</v>
      </c>
      <c r="CL53" s="13">
        <f t="shared" si="41"/>
        <v>276098.95662399998</v>
      </c>
      <c r="CM53" s="13">
        <f t="shared" si="41"/>
        <v>239533.37000000002</v>
      </c>
      <c r="CN53" s="13">
        <f t="shared" si="41"/>
        <v>239533.37000000002</v>
      </c>
      <c r="CO53" s="13">
        <f t="shared" si="41"/>
        <v>239533.37000000002</v>
      </c>
      <c r="CP53" s="13">
        <f t="shared" si="41"/>
        <v>239533.37000000002</v>
      </c>
      <c r="CQ53" s="13">
        <f t="shared" si="41"/>
        <v>239533.37000000002</v>
      </c>
      <c r="CR53" s="13">
        <f t="shared" si="41"/>
        <v>239533.37000000002</v>
      </c>
      <c r="CS53" s="13">
        <f t="shared" si="41"/>
        <v>239533.37000000002</v>
      </c>
    </row>
    <row r="54" spans="1:97" x14ac:dyDescent="0.3">
      <c r="A54" s="4"/>
    </row>
    <row r="55" spans="1:97" x14ac:dyDescent="0.3">
      <c r="A55" s="6" t="s">
        <v>17</v>
      </c>
      <c r="B55" s="9">
        <f>B20-B53</f>
        <v>33061.279999999795</v>
      </c>
      <c r="C55" s="9">
        <f t="shared" ref="C55:BN55" si="42">C20-C53</f>
        <v>70488.919999999809</v>
      </c>
      <c r="D55" s="9">
        <f t="shared" si="42"/>
        <v>78869.450000000041</v>
      </c>
      <c r="E55" s="9">
        <f t="shared" si="42"/>
        <v>91809.279999999795</v>
      </c>
      <c r="F55" s="9">
        <f t="shared" si="42"/>
        <v>82783.669999999984</v>
      </c>
      <c r="G55" s="9">
        <f t="shared" si="42"/>
        <v>19970.819999999832</v>
      </c>
      <c r="H55" s="9">
        <f t="shared" si="42"/>
        <v>37787.200000000041</v>
      </c>
      <c r="I55" s="9">
        <f t="shared" si="42"/>
        <v>-83062.150000000023</v>
      </c>
      <c r="J55" s="9">
        <f t="shared" si="42"/>
        <v>-39988.799999999814</v>
      </c>
      <c r="K55" s="9">
        <f t="shared" si="42"/>
        <v>-22749.200000000128</v>
      </c>
      <c r="L55" s="9">
        <f t="shared" si="42"/>
        <v>-76407.56</v>
      </c>
      <c r="M55" s="9">
        <f t="shared" si="42"/>
        <v>97394.329999999754</v>
      </c>
      <c r="N55" s="9">
        <f t="shared" si="42"/>
        <v>-68323.83000000022</v>
      </c>
      <c r="O55" s="9">
        <f t="shared" si="42"/>
        <v>30571.280000000028</v>
      </c>
      <c r="P55" s="9">
        <f t="shared" si="42"/>
        <v>104285.8600000001</v>
      </c>
      <c r="Q55" s="9">
        <f t="shared" si="42"/>
        <v>-62591.59999999986</v>
      </c>
      <c r="R55" s="9">
        <f t="shared" si="42"/>
        <v>-71007.31</v>
      </c>
      <c r="S55" s="9">
        <f t="shared" si="42"/>
        <v>-70846.030000000028</v>
      </c>
      <c r="T55" s="9">
        <f t="shared" si="42"/>
        <v>65446.540000000212</v>
      </c>
      <c r="U55" s="9">
        <f t="shared" si="42"/>
        <v>108949.11000000028</v>
      </c>
      <c r="V55" s="9">
        <f t="shared" si="42"/>
        <v>-38964.559999999998</v>
      </c>
      <c r="W55" s="9">
        <f t="shared" si="42"/>
        <v>-69783.760000000184</v>
      </c>
      <c r="X55" s="9">
        <f t="shared" si="42"/>
        <v>42420.540000000095</v>
      </c>
      <c r="Y55" s="9">
        <f t="shared" si="42"/>
        <v>353957.75000000012</v>
      </c>
      <c r="Z55" s="9">
        <f t="shared" si="42"/>
        <v>69449.739999999932</v>
      </c>
      <c r="AA55" s="9">
        <f t="shared" si="42"/>
        <v>96405.779999999795</v>
      </c>
      <c r="AB55" s="9">
        <f t="shared" si="42"/>
        <v>169317.31999999975</v>
      </c>
      <c r="AC55" s="9">
        <f t="shared" si="42"/>
        <v>95736.91000000012</v>
      </c>
      <c r="AD55" s="9">
        <f t="shared" si="42"/>
        <v>127847.06999999977</v>
      </c>
      <c r="AE55" s="9">
        <f t="shared" si="42"/>
        <v>85453.680000000051</v>
      </c>
      <c r="AF55" s="9">
        <f t="shared" si="42"/>
        <v>60750.040000000066</v>
      </c>
      <c r="AG55" s="9">
        <f t="shared" si="42"/>
        <v>78147.560000000056</v>
      </c>
      <c r="AH55" s="9">
        <f t="shared" si="42"/>
        <v>102914.75999999963</v>
      </c>
      <c r="AI55" s="9">
        <f t="shared" si="42"/>
        <v>105430.15000000014</v>
      </c>
      <c r="AJ55" s="9">
        <f t="shared" si="42"/>
        <v>82327.599999999744</v>
      </c>
      <c r="AK55" s="9">
        <f t="shared" si="42"/>
        <v>317243.09000000003</v>
      </c>
      <c r="AL55" s="9">
        <f t="shared" si="42"/>
        <v>94039.060000000056</v>
      </c>
      <c r="AM55" s="9">
        <f t="shared" si="42"/>
        <v>51677.930000000342</v>
      </c>
      <c r="AN55" s="9">
        <f t="shared" si="42"/>
        <v>137125.17000000027</v>
      </c>
      <c r="AO55" s="9">
        <f t="shared" si="42"/>
        <v>107887.96999999997</v>
      </c>
      <c r="AP55" s="9">
        <f t="shared" si="42"/>
        <v>24665.630000000179</v>
      </c>
      <c r="AQ55" s="9">
        <f t="shared" si="42"/>
        <v>38150.020000000135</v>
      </c>
      <c r="AR55" s="9">
        <f t="shared" si="42"/>
        <v>-52740.530000000028</v>
      </c>
      <c r="AS55" s="9">
        <f t="shared" si="42"/>
        <v>-145373.87</v>
      </c>
      <c r="AT55" s="9">
        <f t="shared" si="42"/>
        <v>-79177.940000000235</v>
      </c>
      <c r="AU55" s="9">
        <f t="shared" si="42"/>
        <v>-196945.67999999959</v>
      </c>
      <c r="AV55" s="9">
        <f t="shared" si="42"/>
        <v>-176542.80999999953</v>
      </c>
      <c r="AW55" s="9">
        <f t="shared" si="42"/>
        <v>-172247.88999999996</v>
      </c>
      <c r="AX55" s="9">
        <f t="shared" si="42"/>
        <v>-172464.43999999983</v>
      </c>
      <c r="AY55" s="9">
        <f t="shared" si="42"/>
        <v>-180760.81000000029</v>
      </c>
      <c r="AZ55" s="9">
        <f t="shared" si="42"/>
        <v>-260619.43000000028</v>
      </c>
      <c r="BA55" s="9">
        <f t="shared" si="42"/>
        <v>-289281.78000000014</v>
      </c>
      <c r="BB55" s="9">
        <f t="shared" si="42"/>
        <v>-524538.52000000014</v>
      </c>
      <c r="BC55" s="9">
        <f t="shared" si="42"/>
        <v>-382301.86999999982</v>
      </c>
      <c r="BD55" s="9">
        <f t="shared" si="42"/>
        <v>-411614.76000000013</v>
      </c>
      <c r="BE55" s="9">
        <f t="shared" si="42"/>
        <v>-521119.6</v>
      </c>
      <c r="BF55" s="9">
        <f t="shared" si="42"/>
        <v>-598139.90999999992</v>
      </c>
      <c r="BG55" s="9">
        <f t="shared" si="42"/>
        <v>-604775.65999999992</v>
      </c>
      <c r="BH55" s="9">
        <f t="shared" si="42"/>
        <v>-573268.66999999981</v>
      </c>
      <c r="BI55" s="9">
        <f t="shared" si="42"/>
        <v>-828065.52</v>
      </c>
      <c r="BJ55" s="9">
        <f t="shared" si="42"/>
        <v>-361662.12999999954</v>
      </c>
      <c r="BK55" s="9">
        <f t="shared" si="42"/>
        <v>-261122.7000000003</v>
      </c>
      <c r="BL55" s="9">
        <f t="shared" si="42"/>
        <v>-416145.64000000007</v>
      </c>
      <c r="BM55" s="9">
        <f t="shared" si="42"/>
        <v>-425295.39</v>
      </c>
      <c r="BN55" s="9">
        <f t="shared" si="42"/>
        <v>-390377.48999999982</v>
      </c>
      <c r="BO55" s="9">
        <f t="shared" ref="BO55:BX55" si="43">BO20-BO53</f>
        <v>-397745.88999999972</v>
      </c>
      <c r="BP55" s="9">
        <f t="shared" si="43"/>
        <v>-418669.02000000014</v>
      </c>
      <c r="BQ55" s="9">
        <f t="shared" si="43"/>
        <v>-432936.09000000008</v>
      </c>
      <c r="BR55" s="9">
        <f t="shared" si="43"/>
        <v>-324940.49</v>
      </c>
      <c r="BS55" s="9">
        <f t="shared" si="43"/>
        <v>-364235.3600000001</v>
      </c>
      <c r="BT55" s="9">
        <f t="shared" si="43"/>
        <v>-326866.50000000017</v>
      </c>
      <c r="BU55" s="9">
        <f t="shared" si="43"/>
        <v>-87827.730000000025</v>
      </c>
      <c r="BV55" s="9">
        <f t="shared" si="43"/>
        <v>-278787.70999999985</v>
      </c>
      <c r="BW55" s="9">
        <f t="shared" si="43"/>
        <v>-285196.65999999992</v>
      </c>
      <c r="BX55" s="9">
        <f t="shared" si="43"/>
        <v>-319571.78000000003</v>
      </c>
      <c r="BY55" s="9">
        <f>BY20-BY53</f>
        <v>-345544.74999999994</v>
      </c>
      <c r="BZ55" s="9">
        <f>BZ20-BZ53</f>
        <v>-395345.69999999995</v>
      </c>
      <c r="CA55" s="9">
        <f t="shared" ref="CA55:CS55" si="44">CA20-CA53</f>
        <v>0</v>
      </c>
      <c r="CB55" s="9">
        <f t="shared" si="44"/>
        <v>0</v>
      </c>
      <c r="CC55" s="9">
        <f t="shared" si="44"/>
        <v>0</v>
      </c>
      <c r="CD55" s="9">
        <f t="shared" si="44"/>
        <v>0</v>
      </c>
      <c r="CE55" s="9">
        <f t="shared" si="44"/>
        <v>0</v>
      </c>
      <c r="CF55" s="9">
        <f t="shared" si="44"/>
        <v>0</v>
      </c>
      <c r="CG55" s="9">
        <f t="shared" si="44"/>
        <v>0</v>
      </c>
      <c r="CH55" s="9">
        <f t="shared" si="44"/>
        <v>-330959.09400000004</v>
      </c>
      <c r="CI55" s="9">
        <f t="shared" si="44"/>
        <v>-329409.99808000005</v>
      </c>
      <c r="CJ55" s="9">
        <f t="shared" si="44"/>
        <v>-330472.98080000002</v>
      </c>
      <c r="CK55" s="9">
        <f t="shared" si="44"/>
        <v>-325937.86985600006</v>
      </c>
      <c r="CL55" s="9">
        <f t="shared" si="44"/>
        <v>-321653.73662400001</v>
      </c>
      <c r="CM55" s="9">
        <f t="shared" si="44"/>
        <v>-178653.58824390234</v>
      </c>
      <c r="CN55" s="9">
        <f t="shared" si="44"/>
        <v>-178653.58824390234</v>
      </c>
      <c r="CO55" s="9">
        <f t="shared" si="44"/>
        <v>-178653.58824390234</v>
      </c>
      <c r="CP55" s="9">
        <f t="shared" si="44"/>
        <v>-178653.58824390234</v>
      </c>
      <c r="CQ55" s="9">
        <f t="shared" si="44"/>
        <v>-178653.58824390234</v>
      </c>
      <c r="CR55" s="9">
        <f t="shared" si="44"/>
        <v>-178653.58824390234</v>
      </c>
      <c r="CS55" s="9">
        <f t="shared" si="44"/>
        <v>-178653.58824390234</v>
      </c>
    </row>
    <row r="56" spans="1:97" x14ac:dyDescent="0.3">
      <c r="A56" s="6" t="s">
        <v>40</v>
      </c>
      <c r="B56" s="8">
        <f>B55/B4</f>
        <v>2.3577079399173303E-2</v>
      </c>
      <c r="C56" s="8">
        <f t="shared" ref="C56:BN56" si="45">C55/C4</f>
        <v>4.4666236430458341E-2</v>
      </c>
      <c r="D56" s="8">
        <f t="shared" si="45"/>
        <v>4.7010788034812116E-2</v>
      </c>
      <c r="E56" s="8">
        <f t="shared" si="45"/>
        <v>5.0680783058188218E-2</v>
      </c>
      <c r="F56" s="8">
        <f t="shared" si="45"/>
        <v>4.7119584762240541E-2</v>
      </c>
      <c r="G56" s="8">
        <f t="shared" si="45"/>
        <v>1.2316981305230533E-2</v>
      </c>
      <c r="H56" s="8">
        <f t="shared" si="45"/>
        <v>2.4878814275943389E-2</v>
      </c>
      <c r="I56" s="8">
        <f t="shared" si="45"/>
        <v>-6.173876020183193E-2</v>
      </c>
      <c r="J56" s="8">
        <f t="shared" si="45"/>
        <v>-2.9367383776688242E-2</v>
      </c>
      <c r="K56" s="8">
        <f t="shared" si="45"/>
        <v>-1.7467602178854121E-2</v>
      </c>
      <c r="L56" s="8">
        <f t="shared" si="45"/>
        <v>-5.5496489438973513E-2</v>
      </c>
      <c r="M56" s="8">
        <f t="shared" si="45"/>
        <v>7.1639319191776227E-2</v>
      </c>
      <c r="N56" s="8">
        <f t="shared" si="45"/>
        <v>-5.1575953748565051E-2</v>
      </c>
      <c r="O56" s="8">
        <f t="shared" si="45"/>
        <v>2.0384789092512741E-2</v>
      </c>
      <c r="P56" s="8">
        <f t="shared" si="45"/>
        <v>6.9411864348963445E-2</v>
      </c>
      <c r="Q56" s="8">
        <f t="shared" si="45"/>
        <v>-6.7235955929058414E-2</v>
      </c>
      <c r="R56" s="8">
        <f t="shared" si="45"/>
        <v>-8.3799938825261391E-2</v>
      </c>
      <c r="S56" s="8">
        <f t="shared" si="45"/>
        <v>-8.7956750018458332E-2</v>
      </c>
      <c r="T56" s="8">
        <f t="shared" si="45"/>
        <v>5.4141545908642695E-2</v>
      </c>
      <c r="U56" s="8">
        <f t="shared" si="45"/>
        <v>7.6217331547233327E-2</v>
      </c>
      <c r="V56" s="8">
        <f t="shared" si="45"/>
        <v>-2.9809752265193792E-2</v>
      </c>
      <c r="W56" s="8">
        <f t="shared" si="45"/>
        <v>-5.8352985500825509E-2</v>
      </c>
      <c r="X56" s="8">
        <f t="shared" si="45"/>
        <v>3.1046257866964577E-2</v>
      </c>
      <c r="Y56" s="8">
        <f t="shared" si="45"/>
        <v>0.26037477713874629</v>
      </c>
      <c r="Z56" s="8">
        <f t="shared" si="45"/>
        <v>4.5248585583859982E-2</v>
      </c>
      <c r="AA56" s="8">
        <f t="shared" si="45"/>
        <v>6.1589501490156039E-2</v>
      </c>
      <c r="AB56" s="8">
        <f t="shared" si="45"/>
        <v>9.9182494736616347E-2</v>
      </c>
      <c r="AC56" s="8">
        <f t="shared" si="45"/>
        <v>5.9495240357653696E-2</v>
      </c>
      <c r="AD56" s="8">
        <f t="shared" si="45"/>
        <v>7.8982347723377741E-2</v>
      </c>
      <c r="AE56" s="8">
        <f t="shared" si="45"/>
        <v>5.2369579439582273E-2</v>
      </c>
      <c r="AF56" s="8">
        <f t="shared" si="45"/>
        <v>3.7619769811994455E-2</v>
      </c>
      <c r="AG56" s="8">
        <f t="shared" si="45"/>
        <v>4.3376508414528323E-2</v>
      </c>
      <c r="AH56" s="8">
        <f t="shared" si="45"/>
        <v>5.3876716091141162E-2</v>
      </c>
      <c r="AI56" s="8">
        <f t="shared" si="45"/>
        <v>5.4105143813813115E-2</v>
      </c>
      <c r="AJ56" s="8">
        <f t="shared" si="45"/>
        <v>4.5361792078514623E-2</v>
      </c>
      <c r="AK56" s="8">
        <f t="shared" si="45"/>
        <v>0.21674586984908961</v>
      </c>
      <c r="AL56" s="8">
        <f t="shared" si="45"/>
        <v>5.032173429308609E-2</v>
      </c>
      <c r="AM56" s="8">
        <f t="shared" si="45"/>
        <v>3.1178573515644275E-2</v>
      </c>
      <c r="AN56" s="8">
        <f t="shared" si="45"/>
        <v>6.6865603843051388E-2</v>
      </c>
      <c r="AO56" s="8">
        <f t="shared" si="45"/>
        <v>4.9231351760834922E-2</v>
      </c>
      <c r="AP56" s="8">
        <f t="shared" si="45"/>
        <v>1.5171115322940189E-2</v>
      </c>
      <c r="AQ56" s="8">
        <f t="shared" si="45"/>
        <v>2.0360918465553386E-2</v>
      </c>
      <c r="AR56" s="8">
        <f t="shared" si="45"/>
        <v>-2.8557459242501474E-2</v>
      </c>
      <c r="AS56" s="8">
        <f t="shared" si="45"/>
        <v>-7.5848538346478159E-2</v>
      </c>
      <c r="AT56" s="8">
        <f t="shared" si="45"/>
        <v>-4.2820882532254398E-2</v>
      </c>
      <c r="AU56" s="8">
        <f t="shared" si="45"/>
        <v>-0.12543346268665567</v>
      </c>
      <c r="AV56" s="8">
        <f t="shared" si="45"/>
        <v>-8.8773146384708804E-2</v>
      </c>
      <c r="AW56" s="8">
        <f t="shared" si="45"/>
        <v>-0.14505836356851243</v>
      </c>
      <c r="AX56" s="8">
        <f t="shared" si="45"/>
        <v>-8.5788981788800067E-2</v>
      </c>
      <c r="AY56" s="8">
        <f t="shared" si="45"/>
        <v>-0.1035118375214106</v>
      </c>
      <c r="AZ56" s="8">
        <f t="shared" si="45"/>
        <v>-0.15957410214542977</v>
      </c>
      <c r="BA56" s="8">
        <f t="shared" si="45"/>
        <v>-0.17757793535048882</v>
      </c>
      <c r="BB56" s="8">
        <f t="shared" si="45"/>
        <v>-0.51143554641519817</v>
      </c>
      <c r="BC56" s="8">
        <f t="shared" si="45"/>
        <v>-0.24517128600008953</v>
      </c>
      <c r="BD56" s="8">
        <f t="shared" si="45"/>
        <v>-0.29472718463775471</v>
      </c>
      <c r="BE56" s="8">
        <f t="shared" si="45"/>
        <v>-0.39424215368468485</v>
      </c>
      <c r="BF56" s="8">
        <f t="shared" si="45"/>
        <v>-0.72133917299694716</v>
      </c>
      <c r="BG56" s="8">
        <f t="shared" si="45"/>
        <v>-0.66978371538752235</v>
      </c>
      <c r="BH56" s="8">
        <f t="shared" si="45"/>
        <v>-0.56160455889904026</v>
      </c>
      <c r="BI56" s="8">
        <f t="shared" si="45"/>
        <v>-1.197388546045447</v>
      </c>
      <c r="BJ56" s="8">
        <f t="shared" si="45"/>
        <v>-0.23869752649478393</v>
      </c>
      <c r="BK56" s="8">
        <f t="shared" si="45"/>
        <v>-0.1867813036509211</v>
      </c>
      <c r="BL56" s="8">
        <f t="shared" si="45"/>
        <v>-0.39732346589764134</v>
      </c>
      <c r="BM56" s="8">
        <f t="shared" si="45"/>
        <v>-0.43541804977980797</v>
      </c>
      <c r="BN56" s="8">
        <f t="shared" si="45"/>
        <v>-0.37739676960286594</v>
      </c>
      <c r="BO56" s="8">
        <f t="shared" ref="BO56:BY56" si="46">BO55/BO4</f>
        <v>-0.45018879715418392</v>
      </c>
      <c r="BP56" s="8">
        <f t="shared" si="46"/>
        <v>-0.5115168345352854</v>
      </c>
      <c r="BQ56" s="8">
        <f t="shared" si="46"/>
        <v>-0.52460528742295642</v>
      </c>
      <c r="BR56" s="8">
        <f t="shared" si="46"/>
        <v>-0.25294464558350976</v>
      </c>
      <c r="BS56" s="8">
        <f t="shared" si="46"/>
        <v>-0.37886128080230924</v>
      </c>
      <c r="BT56" s="8">
        <f t="shared" si="46"/>
        <v>-0.27634041564082718</v>
      </c>
      <c r="BU56" s="8">
        <f t="shared" si="46"/>
        <v>-7.6001278910546005E-2</v>
      </c>
      <c r="BV56" s="8">
        <f t="shared" si="46"/>
        <v>-0.17505175807935885</v>
      </c>
      <c r="BW56" s="8">
        <f t="shared" si="46"/>
        <v>-0.25871809452363576</v>
      </c>
      <c r="BX56" s="8">
        <f t="shared" si="46"/>
        <v>-0.28936483446091155</v>
      </c>
      <c r="BY56" s="8">
        <f t="shared" si="46"/>
        <v>-0.41154295054564882</v>
      </c>
      <c r="BZ56" s="8">
        <f t="shared" ref="BZ56:CS56" si="47">BZ55/BZ4</f>
        <v>-0.39153258374355071</v>
      </c>
      <c r="CA56" s="8" t="e">
        <f t="shared" si="47"/>
        <v>#DIV/0!</v>
      </c>
      <c r="CB56" s="8" t="e">
        <f t="shared" si="47"/>
        <v>#DIV/0!</v>
      </c>
      <c r="CC56" s="8" t="e">
        <f t="shared" si="47"/>
        <v>#DIV/0!</v>
      </c>
      <c r="CD56" s="8" t="e">
        <f t="shared" si="47"/>
        <v>#DIV/0!</v>
      </c>
      <c r="CE56" s="8" t="e">
        <f t="shared" si="47"/>
        <v>#DIV/0!</v>
      </c>
      <c r="CF56" s="8" t="e">
        <f t="shared" si="47"/>
        <v>#DIV/0!</v>
      </c>
      <c r="CG56" s="8" t="e">
        <f t="shared" si="47"/>
        <v>#DIV/0!</v>
      </c>
      <c r="CH56" s="8">
        <f t="shared" si="47"/>
        <v>-0.26744169212121216</v>
      </c>
      <c r="CI56" s="8">
        <f t="shared" si="47"/>
        <v>-0.2551587901471728</v>
      </c>
      <c r="CJ56" s="8">
        <f t="shared" si="47"/>
        <v>-0.25717741696498059</v>
      </c>
      <c r="CK56" s="8">
        <f t="shared" si="47"/>
        <v>-0.25440046039338127</v>
      </c>
      <c r="CL56" s="8">
        <f t="shared" si="47"/>
        <v>-0.25685038459155157</v>
      </c>
      <c r="CM56" s="8">
        <f t="shared" si="47"/>
        <v>-0.15025533073498934</v>
      </c>
      <c r="CN56" s="8">
        <f t="shared" si="47"/>
        <v>-0.15025533073498934</v>
      </c>
      <c r="CO56" s="8">
        <f t="shared" si="47"/>
        <v>-0.15025533073498934</v>
      </c>
      <c r="CP56" s="8">
        <f t="shared" si="47"/>
        <v>-0.15025533073498934</v>
      </c>
      <c r="CQ56" s="8">
        <f t="shared" si="47"/>
        <v>-0.15025533073498934</v>
      </c>
      <c r="CR56" s="8">
        <f t="shared" si="47"/>
        <v>-0.15025533073498934</v>
      </c>
      <c r="CS56" s="8">
        <f t="shared" si="47"/>
        <v>-0.15025533073498934</v>
      </c>
    </row>
    <row r="57" spans="1:97" x14ac:dyDescent="0.3">
      <c r="A57" s="6" t="s">
        <v>54</v>
      </c>
      <c r="B57" s="9">
        <f>B55+B11+B43+B45+B52</f>
        <v>181968.41999999978</v>
      </c>
      <c r="C57" s="9">
        <f>C55+C11+C43+C45+C52</f>
        <v>189712.72999999981</v>
      </c>
      <c r="D57" s="9">
        <f>D55+D11+D43+D45+D52</f>
        <v>207047.24000000002</v>
      </c>
      <c r="E57" s="9">
        <f t="shared" ref="E57:BP57" si="48">E55+E11+E43+E45+E52</f>
        <v>215471.47999999978</v>
      </c>
      <c r="F57" s="9">
        <f t="shared" si="48"/>
        <v>208964.26</v>
      </c>
      <c r="G57" s="9">
        <f t="shared" si="48"/>
        <v>143890.34999999983</v>
      </c>
      <c r="H57" s="9">
        <f t="shared" si="48"/>
        <v>159029.90000000002</v>
      </c>
      <c r="I57" s="9">
        <f t="shared" si="48"/>
        <v>42090.929999999978</v>
      </c>
      <c r="J57" s="9">
        <f t="shared" si="48"/>
        <v>82025.550000000192</v>
      </c>
      <c r="K57" s="9">
        <f t="shared" si="48"/>
        <v>95881.919999999867</v>
      </c>
      <c r="L57" s="9">
        <f t="shared" si="48"/>
        <v>35812.830000000016</v>
      </c>
      <c r="M57" s="9">
        <f t="shared" si="48"/>
        <v>210110.36999999976</v>
      </c>
      <c r="N57" s="9">
        <f t="shared" si="48"/>
        <v>35665.719999999783</v>
      </c>
      <c r="O57" s="9">
        <f t="shared" si="48"/>
        <v>136203.11000000002</v>
      </c>
      <c r="P57" s="9">
        <f t="shared" si="48"/>
        <v>212634.60000000009</v>
      </c>
      <c r="Q57" s="9">
        <f t="shared" si="48"/>
        <v>45667.420000000136</v>
      </c>
      <c r="R57" s="9">
        <f t="shared" si="48"/>
        <v>35304.239999999991</v>
      </c>
      <c r="S57" s="9">
        <f t="shared" si="48"/>
        <v>152806.89999999997</v>
      </c>
      <c r="T57" s="9">
        <f t="shared" si="48"/>
        <v>191851.50000000023</v>
      </c>
      <c r="U57" s="9">
        <f t="shared" si="48"/>
        <v>234331.40000000026</v>
      </c>
      <c r="V57" s="9">
        <f t="shared" si="48"/>
        <v>123151.51999999999</v>
      </c>
      <c r="W57" s="9">
        <f t="shared" si="48"/>
        <v>57208.009999999835</v>
      </c>
      <c r="X57" s="9">
        <f t="shared" si="48"/>
        <v>165876.6700000001</v>
      </c>
      <c r="Y57" s="9">
        <f t="shared" si="48"/>
        <v>435548.30000000005</v>
      </c>
      <c r="Z57" s="9">
        <f t="shared" si="48"/>
        <v>182173.94999999992</v>
      </c>
      <c r="AA57" s="9">
        <f t="shared" si="48"/>
        <v>206752.72999999981</v>
      </c>
      <c r="AB57" s="9">
        <f t="shared" si="48"/>
        <v>282187.70999999973</v>
      </c>
      <c r="AC57" s="9">
        <f t="shared" si="48"/>
        <v>210007.07000000012</v>
      </c>
      <c r="AD57" s="9">
        <f t="shared" si="48"/>
        <v>243205.20999999979</v>
      </c>
      <c r="AE57" s="9">
        <f t="shared" si="48"/>
        <v>197003.03000000006</v>
      </c>
      <c r="AF57" s="9">
        <f t="shared" si="48"/>
        <v>175158.92000000004</v>
      </c>
      <c r="AG57" s="9">
        <f t="shared" si="48"/>
        <v>188799.80000000005</v>
      </c>
      <c r="AH57" s="9">
        <f t="shared" si="48"/>
        <v>213591.97999999963</v>
      </c>
      <c r="AI57" s="9">
        <f t="shared" si="48"/>
        <v>223256.46000000014</v>
      </c>
      <c r="AJ57" s="9">
        <f t="shared" si="48"/>
        <v>202397.28999999975</v>
      </c>
      <c r="AK57" s="9">
        <f t="shared" si="48"/>
        <v>443777.02</v>
      </c>
      <c r="AL57" s="9">
        <f t="shared" si="48"/>
        <v>236788.58000000005</v>
      </c>
      <c r="AM57" s="9">
        <f t="shared" si="48"/>
        <v>195691.15000000034</v>
      </c>
      <c r="AN57" s="9">
        <f t="shared" si="48"/>
        <v>283779.34000000026</v>
      </c>
      <c r="AO57" s="9">
        <f t="shared" si="48"/>
        <v>263229.87</v>
      </c>
      <c r="AP57" s="9">
        <f t="shared" si="48"/>
        <v>177922.42000000019</v>
      </c>
      <c r="AQ57" s="9">
        <f t="shared" si="48"/>
        <v>195803.03000000014</v>
      </c>
      <c r="AR57" s="9">
        <f t="shared" si="48"/>
        <v>116694.21999999999</v>
      </c>
      <c r="AS57" s="9">
        <f t="shared" si="48"/>
        <v>51921.25</v>
      </c>
      <c r="AT57" s="9">
        <f t="shared" si="48"/>
        <v>115803.17999999977</v>
      </c>
      <c r="AU57" s="9">
        <f t="shared" si="48"/>
        <v>-3692.7399999996123</v>
      </c>
      <c r="AV57" s="9">
        <f t="shared" si="48"/>
        <v>43436.28000000045</v>
      </c>
      <c r="AW57" s="9">
        <f t="shared" si="48"/>
        <v>43903.500000000044</v>
      </c>
      <c r="AX57" s="9">
        <f t="shared" si="48"/>
        <v>66457.980000000156</v>
      </c>
      <c r="AY57" s="9">
        <f t="shared" si="48"/>
        <v>54849.699999999721</v>
      </c>
      <c r="AZ57" s="9">
        <f t="shared" si="48"/>
        <v>-18596.52000000031</v>
      </c>
      <c r="BA57" s="9">
        <f t="shared" si="48"/>
        <v>-52548.130000000121</v>
      </c>
      <c r="BB57" s="9">
        <f t="shared" si="48"/>
        <v>-285525.15000000014</v>
      </c>
      <c r="BC57" s="9">
        <f t="shared" si="48"/>
        <v>-148134.08999999985</v>
      </c>
      <c r="BD57" s="9">
        <f t="shared" si="48"/>
        <v>-178378.94000000015</v>
      </c>
      <c r="BE57" s="9">
        <f t="shared" si="48"/>
        <v>-295363.34999999998</v>
      </c>
      <c r="BF57" s="9">
        <f t="shared" si="48"/>
        <v>-376790.3299999999</v>
      </c>
      <c r="BG57" s="9">
        <f t="shared" si="48"/>
        <v>-387025.37999999989</v>
      </c>
      <c r="BH57" s="9">
        <f t="shared" si="48"/>
        <v>-372591.67999999982</v>
      </c>
      <c r="BI57" s="9">
        <f t="shared" si="48"/>
        <v>-801731.06</v>
      </c>
      <c r="BJ57" s="9">
        <f t="shared" si="48"/>
        <v>-146072.21999999954</v>
      </c>
      <c r="BK57" s="9">
        <f t="shared" si="48"/>
        <v>-63765.820000000298</v>
      </c>
      <c r="BL57" s="9">
        <f t="shared" si="48"/>
        <v>-219831.5400000001</v>
      </c>
      <c r="BM57" s="9">
        <f t="shared" si="48"/>
        <v>-236740.26</v>
      </c>
      <c r="BN57" s="9">
        <f t="shared" si="48"/>
        <v>-201644.14999999979</v>
      </c>
      <c r="BO57" s="9">
        <f t="shared" si="48"/>
        <v>-197554.56999999972</v>
      </c>
      <c r="BP57" s="9">
        <f t="shared" si="48"/>
        <v>-256675.60000000018</v>
      </c>
      <c r="BQ57" s="9">
        <f t="shared" ref="BQ57:CS57" si="49">BQ55+BQ11+BQ43+BQ45+BQ52</f>
        <v>-245966.90000000008</v>
      </c>
      <c r="BR57" s="9">
        <f t="shared" si="49"/>
        <v>-128374.80999999998</v>
      </c>
      <c r="BS57" s="9">
        <f t="shared" si="49"/>
        <v>-178995.91000000009</v>
      </c>
      <c r="BT57" s="9">
        <f t="shared" si="49"/>
        <v>-146232.23000000019</v>
      </c>
      <c r="BU57" s="9">
        <f t="shared" si="49"/>
        <v>74001.879999999976</v>
      </c>
      <c r="BV57" s="9">
        <f t="shared" si="49"/>
        <v>-89331.639999999839</v>
      </c>
      <c r="BW57" s="9">
        <f t="shared" si="49"/>
        <v>-124677.43999999992</v>
      </c>
      <c r="BX57" s="9">
        <f t="shared" si="49"/>
        <v>-137488.82</v>
      </c>
      <c r="BY57" s="9">
        <f t="shared" si="49"/>
        <v>-175533.62999999995</v>
      </c>
      <c r="BZ57" s="9">
        <f t="shared" si="49"/>
        <v>-224317.76999999996</v>
      </c>
      <c r="CA57" s="9">
        <f t="shared" si="49"/>
        <v>0</v>
      </c>
      <c r="CB57" s="9">
        <f t="shared" si="49"/>
        <v>0</v>
      </c>
      <c r="CC57" s="9">
        <f t="shared" si="49"/>
        <v>0</v>
      </c>
      <c r="CD57" s="9">
        <f t="shared" si="49"/>
        <v>0</v>
      </c>
      <c r="CE57" s="9">
        <f t="shared" si="49"/>
        <v>0</v>
      </c>
      <c r="CF57" s="9">
        <f t="shared" si="49"/>
        <v>0</v>
      </c>
      <c r="CG57" s="9">
        <f t="shared" si="49"/>
        <v>0</v>
      </c>
      <c r="CH57" s="9">
        <f t="shared" si="49"/>
        <v>-137708.84400000004</v>
      </c>
      <c r="CI57" s="9">
        <f t="shared" si="49"/>
        <v>-132682.24808000005</v>
      </c>
      <c r="CJ57" s="9">
        <f t="shared" si="49"/>
        <v>-134135.23080000002</v>
      </c>
      <c r="CK57" s="9">
        <f t="shared" si="49"/>
        <v>-129847.11985600006</v>
      </c>
      <c r="CL57" s="9">
        <f t="shared" si="49"/>
        <v>-127441.48662400001</v>
      </c>
      <c r="CM57" s="9">
        <f t="shared" si="49"/>
        <v>-5446.163393170631</v>
      </c>
      <c r="CN57" s="9">
        <f t="shared" si="49"/>
        <v>-5446.163393170631</v>
      </c>
      <c r="CO57" s="9">
        <f t="shared" si="49"/>
        <v>-5446.163393170631</v>
      </c>
      <c r="CP57" s="9">
        <f t="shared" si="49"/>
        <v>-5446.163393170631</v>
      </c>
      <c r="CQ57" s="9">
        <f t="shared" si="49"/>
        <v>-5446.163393170631</v>
      </c>
      <c r="CR57" s="9">
        <f t="shared" si="49"/>
        <v>-5446.163393170631</v>
      </c>
      <c r="CS57" s="9">
        <f t="shared" si="49"/>
        <v>-5446.163393170631</v>
      </c>
    </row>
    <row r="58" spans="1:97" x14ac:dyDescent="0.3">
      <c r="A58" s="6" t="s">
        <v>55</v>
      </c>
      <c r="B58" s="8">
        <f>B57/B4</f>
        <v>0.12976762806770145</v>
      </c>
      <c r="C58" s="8">
        <f t="shared" ref="C58:BN58" si="50">C57/C4</f>
        <v>0.12021398046739432</v>
      </c>
      <c r="D58" s="8">
        <f t="shared" si="50"/>
        <v>0.12341221997659256</v>
      </c>
      <c r="E58" s="8">
        <f t="shared" si="50"/>
        <v>0.1189450928392724</v>
      </c>
      <c r="F58" s="8">
        <f t="shared" si="50"/>
        <v>0.11894023496842883</v>
      </c>
      <c r="G58" s="8">
        <f t="shared" si="50"/>
        <v>8.8744215357861672E-2</v>
      </c>
      <c r="H58" s="8">
        <f t="shared" si="50"/>
        <v>0.10470411532005139</v>
      </c>
      <c r="I58" s="8">
        <f t="shared" si="50"/>
        <v>3.1285511318236904E-2</v>
      </c>
      <c r="J58" s="8">
        <f t="shared" si="50"/>
        <v>6.023876201196203E-2</v>
      </c>
      <c r="K58" s="8">
        <f t="shared" si="50"/>
        <v>7.3621368430745029E-2</v>
      </c>
      <c r="L58" s="8">
        <f t="shared" si="50"/>
        <v>2.6011645207290414E-2</v>
      </c>
      <c r="M58" s="8">
        <f t="shared" si="50"/>
        <v>0.15454866686728297</v>
      </c>
      <c r="N58" s="8">
        <f t="shared" si="50"/>
        <v>2.6923161730383886E-2</v>
      </c>
      <c r="O58" s="8">
        <f t="shared" si="50"/>
        <v>9.0819608177816272E-2</v>
      </c>
      <c r="P58" s="8">
        <f t="shared" si="50"/>
        <v>0.14152795030022378</v>
      </c>
      <c r="Q58" s="8">
        <f t="shared" si="50"/>
        <v>4.9055985763486104E-2</v>
      </c>
      <c r="R58" s="8">
        <f t="shared" si="50"/>
        <v>4.1664627941437937E-2</v>
      </c>
      <c r="S58" s="8">
        <f t="shared" si="50"/>
        <v>0.18971279413109743</v>
      </c>
      <c r="T58" s="8">
        <f t="shared" si="50"/>
        <v>0.15871177903204572</v>
      </c>
      <c r="U58" s="8">
        <f t="shared" si="50"/>
        <v>0.1639307930622593</v>
      </c>
      <c r="V58" s="8">
        <f t="shared" si="50"/>
        <v>9.4216803738629631E-2</v>
      </c>
      <c r="W58" s="8">
        <f t="shared" si="50"/>
        <v>4.7837178421756901E-2</v>
      </c>
      <c r="X58" s="8">
        <f t="shared" si="50"/>
        <v>0.1213999131301341</v>
      </c>
      <c r="Y58" s="8">
        <f t="shared" si="50"/>
        <v>0.32039358241388916</v>
      </c>
      <c r="Z58" s="8">
        <f t="shared" si="50"/>
        <v>0.1186917844145253</v>
      </c>
      <c r="AA58" s="8">
        <f t="shared" si="50"/>
        <v>0.13208541616932973</v>
      </c>
      <c r="AB58" s="8">
        <f t="shared" si="50"/>
        <v>0.16529957515163149</v>
      </c>
      <c r="AC58" s="8">
        <f t="shared" si="50"/>
        <v>0.13050787942139136</v>
      </c>
      <c r="AD58" s="8">
        <f t="shared" si="50"/>
        <v>0.15024918806787768</v>
      </c>
      <c r="AE58" s="8">
        <f t="shared" si="50"/>
        <v>0.12073167392467365</v>
      </c>
      <c r="AF58" s="8">
        <f t="shared" si="50"/>
        <v>0.10846804793737659</v>
      </c>
      <c r="AG58" s="8">
        <f t="shared" si="50"/>
        <v>0.10479503279899284</v>
      </c>
      <c r="AH58" s="8">
        <f t="shared" si="50"/>
        <v>0.11181714329222284</v>
      </c>
      <c r="AI58" s="8">
        <f t="shared" si="50"/>
        <v>0.11457180773870479</v>
      </c>
      <c r="AJ58" s="8">
        <f t="shared" si="50"/>
        <v>0.11151914772488017</v>
      </c>
      <c r="AK58" s="8">
        <f t="shared" si="50"/>
        <v>0.30319600095603921</v>
      </c>
      <c r="AL58" s="8">
        <f t="shared" si="50"/>
        <v>0.12670917814785851</v>
      </c>
      <c r="AM58" s="8">
        <f t="shared" si="50"/>
        <v>0.11806531156793512</v>
      </c>
      <c r="AN58" s="8">
        <f t="shared" si="50"/>
        <v>0.13837778233771791</v>
      </c>
      <c r="AO58" s="8">
        <f t="shared" si="50"/>
        <v>0.12011684272054475</v>
      </c>
      <c r="AP58" s="8">
        <f t="shared" si="50"/>
        <v>0.10943493242850813</v>
      </c>
      <c r="AQ58" s="8">
        <f t="shared" si="50"/>
        <v>0.10450137455074185</v>
      </c>
      <c r="AR58" s="8">
        <f t="shared" si="50"/>
        <v>6.3186517683563245E-2</v>
      </c>
      <c r="AS58" s="8">
        <f t="shared" si="50"/>
        <v>2.7089812781499724E-2</v>
      </c>
      <c r="AT58" s="8">
        <f t="shared" si="50"/>
        <v>6.2628484242473192E-2</v>
      </c>
      <c r="AU58" s="8">
        <f t="shared" si="50"/>
        <v>-2.3518828389709956E-3</v>
      </c>
      <c r="AV58" s="8">
        <f t="shared" si="50"/>
        <v>2.1841587560814568E-2</v>
      </c>
      <c r="AW58" s="8">
        <f t="shared" si="50"/>
        <v>3.6973282313822207E-2</v>
      </c>
      <c r="AX58" s="8">
        <f t="shared" si="50"/>
        <v>3.3058191218667793E-2</v>
      </c>
      <c r="AY58" s="8">
        <f t="shared" si="50"/>
        <v>3.1409425718429106E-2</v>
      </c>
      <c r="AZ58" s="8">
        <f t="shared" si="50"/>
        <v>-1.1386422654786612E-2</v>
      </c>
      <c r="BA58" s="8">
        <f t="shared" si="50"/>
        <v>-3.225709006605635E-2</v>
      </c>
      <c r="BB58" s="8">
        <f t="shared" si="50"/>
        <v>-0.27839273101531509</v>
      </c>
      <c r="BC58" s="8">
        <f t="shared" si="50"/>
        <v>-9.4998816892402291E-2</v>
      </c>
      <c r="BD58" s="8">
        <f t="shared" si="50"/>
        <v>-0.12772409518275532</v>
      </c>
      <c r="BE58" s="8">
        <f t="shared" si="50"/>
        <v>-0.22345097598233374</v>
      </c>
      <c r="BF58" s="8">
        <f t="shared" si="50"/>
        <v>-0.45439807725829023</v>
      </c>
      <c r="BG58" s="8">
        <f t="shared" si="50"/>
        <v>-0.42862719866349724</v>
      </c>
      <c r="BH58" s="8">
        <f t="shared" si="50"/>
        <v>-0.36501067831921169</v>
      </c>
      <c r="BI58" s="8">
        <f t="shared" si="50"/>
        <v>-1.1593087323004043</v>
      </c>
      <c r="BJ58" s="8">
        <f t="shared" si="50"/>
        <v>-9.640787550413929E-2</v>
      </c>
      <c r="BK58" s="8">
        <f t="shared" si="50"/>
        <v>-4.5611748760142339E-2</v>
      </c>
      <c r="BL58" s="8">
        <f t="shared" si="50"/>
        <v>-0.20988860867655854</v>
      </c>
      <c r="BM58" s="8">
        <f t="shared" si="50"/>
        <v>-0.24237502859733487</v>
      </c>
      <c r="BN58" s="8">
        <f t="shared" si="50"/>
        <v>-0.19493913652479219</v>
      </c>
      <c r="BO58" s="8">
        <f t="shared" ref="BO58:BY58" si="51">BO57/BO4</f>
        <v>-0.22360219546357088</v>
      </c>
      <c r="BP58" s="8">
        <f t="shared" si="51"/>
        <v>-0.31359829398039807</v>
      </c>
      <c r="BQ58" s="8">
        <f t="shared" si="51"/>
        <v>-0.29804753923618055</v>
      </c>
      <c r="BR58" s="8">
        <f t="shared" si="51"/>
        <v>-9.9931285317198859E-2</v>
      </c>
      <c r="BS58" s="8">
        <f t="shared" si="51"/>
        <v>-0.18618351529893992</v>
      </c>
      <c r="BT58" s="8">
        <f t="shared" si="51"/>
        <v>-0.12362807206699085</v>
      </c>
      <c r="BU58" s="8">
        <f t="shared" si="51"/>
        <v>6.4037150018391151E-2</v>
      </c>
      <c r="BV58" s="8">
        <f t="shared" si="51"/>
        <v>-5.6091642756104121E-2</v>
      </c>
      <c r="BW58" s="8">
        <f t="shared" si="51"/>
        <v>-0.11310198971784911</v>
      </c>
      <c r="BX58" s="8">
        <f t="shared" si="51"/>
        <v>-0.12449293751634159</v>
      </c>
      <c r="BY58" s="8">
        <f t="shared" si="51"/>
        <v>-0.20906012321179301</v>
      </c>
      <c r="BZ58" s="8">
        <f t="shared" ref="BZ58:CS58" si="52">BZ57/BZ4</f>
        <v>-0.22215422114795114</v>
      </c>
      <c r="CA58" s="8" t="e">
        <f t="shared" si="52"/>
        <v>#DIV/0!</v>
      </c>
      <c r="CB58" s="8" t="e">
        <f t="shared" si="52"/>
        <v>#DIV/0!</v>
      </c>
      <c r="CC58" s="8" t="e">
        <f t="shared" si="52"/>
        <v>#DIV/0!</v>
      </c>
      <c r="CD58" s="8" t="e">
        <f t="shared" si="52"/>
        <v>#DIV/0!</v>
      </c>
      <c r="CE58" s="8" t="e">
        <f t="shared" si="52"/>
        <v>#DIV/0!</v>
      </c>
      <c r="CF58" s="8" t="e">
        <f t="shared" si="52"/>
        <v>#DIV/0!</v>
      </c>
      <c r="CG58" s="8" t="e">
        <f t="shared" si="52"/>
        <v>#DIV/0!</v>
      </c>
      <c r="CH58" s="8">
        <f t="shared" si="52"/>
        <v>-0.11127987393939397</v>
      </c>
      <c r="CI58" s="8">
        <f t="shared" si="52"/>
        <v>-0.10277478549961275</v>
      </c>
      <c r="CJ58" s="8">
        <f t="shared" si="52"/>
        <v>-0.10438539361867706</v>
      </c>
      <c r="CK58" s="8">
        <f t="shared" si="52"/>
        <v>-0.1013480485919451</v>
      </c>
      <c r="CL58" s="8">
        <f t="shared" si="52"/>
        <v>-0.10176593996965584</v>
      </c>
      <c r="CM58" s="8">
        <f t="shared" si="52"/>
        <v>-4.5804570169643661E-3</v>
      </c>
      <c r="CN58" s="8">
        <f t="shared" si="52"/>
        <v>-4.5804570169643661E-3</v>
      </c>
      <c r="CO58" s="8">
        <f t="shared" si="52"/>
        <v>-4.5804570169643661E-3</v>
      </c>
      <c r="CP58" s="8">
        <f t="shared" si="52"/>
        <v>-4.5804570169643661E-3</v>
      </c>
      <c r="CQ58" s="8">
        <f t="shared" si="52"/>
        <v>-4.5804570169643661E-3</v>
      </c>
      <c r="CR58" s="8">
        <f t="shared" si="52"/>
        <v>-4.5804570169643661E-3</v>
      </c>
      <c r="CS58" s="8">
        <f t="shared" si="52"/>
        <v>-4.5804570169643661E-3</v>
      </c>
    </row>
    <row r="59" spans="1:97" x14ac:dyDescent="0.3">
      <c r="BY59" s="27"/>
      <c r="BZ59" s="27"/>
      <c r="CA59" s="27"/>
      <c r="CB59" s="27"/>
      <c r="CC59" s="27"/>
      <c r="CD59" s="27"/>
      <c r="CE59" s="27"/>
      <c r="CF59" s="27"/>
      <c r="CG59" s="27"/>
      <c r="CH59" s="27"/>
      <c r="CI59" s="27"/>
      <c r="CJ59" s="27"/>
      <c r="CK59" s="27"/>
      <c r="CL59" s="27"/>
      <c r="CM59" s="27"/>
      <c r="CN59" s="27"/>
      <c r="CO59" s="27"/>
      <c r="CP59" s="27"/>
      <c r="CQ59" s="27"/>
      <c r="CR59" s="27"/>
      <c r="CS59" s="27"/>
    </row>
    <row r="60" spans="1:97" x14ac:dyDescent="0.3">
      <c r="A60" s="6" t="s">
        <v>56</v>
      </c>
      <c r="B60" s="2">
        <f>B15+B53</f>
        <v>676948.15999999992</v>
      </c>
      <c r="C60" s="2">
        <f t="shared" ref="C60:BN60" si="53">C15+C53</f>
        <v>724377.67999999993</v>
      </c>
      <c r="D60" s="2">
        <f t="shared" si="53"/>
        <v>750044.07</v>
      </c>
      <c r="E60" s="2">
        <f t="shared" si="53"/>
        <v>747838.55999999994</v>
      </c>
      <c r="F60" s="2">
        <f t="shared" si="53"/>
        <v>760344.34000000008</v>
      </c>
      <c r="G60" s="2">
        <f t="shared" si="53"/>
        <v>732786.22</v>
      </c>
      <c r="H60" s="2">
        <f t="shared" si="53"/>
        <v>692865.9</v>
      </c>
      <c r="I60" s="2">
        <f t="shared" si="53"/>
        <v>704486.44000000006</v>
      </c>
      <c r="J60" s="2">
        <f t="shared" si="53"/>
        <v>719878.07000000007</v>
      </c>
      <c r="K60" s="2">
        <f t="shared" si="53"/>
        <v>726821.12</v>
      </c>
      <c r="L60" s="2">
        <f t="shared" si="53"/>
        <v>732778.28</v>
      </c>
      <c r="M60" s="2">
        <f t="shared" si="53"/>
        <v>567755.19000000006</v>
      </c>
      <c r="N60" s="2">
        <f t="shared" si="53"/>
        <v>636121.31999999995</v>
      </c>
      <c r="O60" s="2">
        <f t="shared" si="53"/>
        <v>611095.89999999991</v>
      </c>
      <c r="P60" s="2">
        <f t="shared" si="53"/>
        <v>638269.91</v>
      </c>
      <c r="Q60" s="2">
        <f t="shared" si="53"/>
        <v>597216.55999999994</v>
      </c>
      <c r="R60" s="2">
        <f t="shared" si="53"/>
        <v>593004.56000000006</v>
      </c>
      <c r="S60" s="2">
        <f t="shared" si="53"/>
        <v>597704.64999999991</v>
      </c>
      <c r="T60" s="2">
        <f t="shared" si="53"/>
        <v>609367.06999999995</v>
      </c>
      <c r="U60" s="2">
        <f t="shared" si="53"/>
        <v>640232.95999999996</v>
      </c>
      <c r="V60" s="2">
        <f t="shared" si="53"/>
        <v>654237.32999999984</v>
      </c>
      <c r="W60" s="2">
        <f t="shared" si="53"/>
        <v>672131.95</v>
      </c>
      <c r="X60" s="2">
        <f t="shared" si="53"/>
        <v>721198.77</v>
      </c>
      <c r="Y60" s="2">
        <f t="shared" si="53"/>
        <v>475712.47</v>
      </c>
      <c r="Z60" s="2">
        <f t="shared" si="53"/>
        <v>631533.28</v>
      </c>
      <c r="AA60" s="2">
        <f t="shared" si="53"/>
        <v>653679.05000000005</v>
      </c>
      <c r="AB60" s="2">
        <f t="shared" si="53"/>
        <v>661180.34000000008</v>
      </c>
      <c r="AC60" s="2">
        <f t="shared" si="53"/>
        <v>685694.15999999992</v>
      </c>
      <c r="AD60" s="2">
        <f t="shared" si="53"/>
        <v>697959.31</v>
      </c>
      <c r="AE60" s="2">
        <f t="shared" si="53"/>
        <v>710022.42999999993</v>
      </c>
      <c r="AF60" s="2">
        <f t="shared" si="53"/>
        <v>685157.45000000007</v>
      </c>
      <c r="AG60" s="2">
        <f t="shared" si="53"/>
        <v>732651.54</v>
      </c>
      <c r="AH60" s="2">
        <f t="shared" si="53"/>
        <v>729890.15</v>
      </c>
      <c r="AI60" s="2">
        <f t="shared" si="53"/>
        <v>768257.08000000007</v>
      </c>
      <c r="AJ60" s="2">
        <f t="shared" si="53"/>
        <v>775784.04</v>
      </c>
      <c r="AK60" s="2">
        <f t="shared" si="53"/>
        <v>452043.26000000007</v>
      </c>
      <c r="AL60" s="2">
        <f t="shared" si="53"/>
        <v>741012.50000000012</v>
      </c>
      <c r="AM60" s="2">
        <f t="shared" si="53"/>
        <v>733405.84000000008</v>
      </c>
      <c r="AN60" s="2">
        <f t="shared" si="53"/>
        <v>783793.51</v>
      </c>
      <c r="AO60" s="2">
        <f t="shared" si="53"/>
        <v>814895.01</v>
      </c>
      <c r="AP60" s="2">
        <f t="shared" si="53"/>
        <v>820548.02</v>
      </c>
      <c r="AQ60" s="2">
        <f t="shared" si="53"/>
        <v>845067.04</v>
      </c>
      <c r="AR60" s="2">
        <f t="shared" si="53"/>
        <v>813914.19</v>
      </c>
      <c r="AS60" s="2">
        <f t="shared" si="53"/>
        <v>895421.4</v>
      </c>
      <c r="AT60" s="2">
        <f t="shared" si="53"/>
        <v>880752.07000000007</v>
      </c>
      <c r="AU60" s="2">
        <f t="shared" si="53"/>
        <v>834000.56</v>
      </c>
      <c r="AV60" s="2">
        <f t="shared" si="53"/>
        <v>863456.85999999987</v>
      </c>
      <c r="AW60" s="2">
        <f t="shared" si="53"/>
        <v>665360.37000000011</v>
      </c>
      <c r="AX60" s="2">
        <f t="shared" si="53"/>
        <v>888149.24</v>
      </c>
      <c r="AY60" s="2">
        <f t="shared" si="53"/>
        <v>890712.21</v>
      </c>
      <c r="AZ60" s="2">
        <f t="shared" si="53"/>
        <v>881402.44</v>
      </c>
      <c r="BA60" s="2">
        <f t="shared" si="53"/>
        <v>864227.75000000012</v>
      </c>
      <c r="BB60" s="2">
        <f t="shared" si="53"/>
        <v>899501.60000000009</v>
      </c>
      <c r="BC60" s="2">
        <f t="shared" si="53"/>
        <v>908007.63000000012</v>
      </c>
      <c r="BD60" s="2">
        <f t="shared" si="53"/>
        <v>885641.5</v>
      </c>
      <c r="BE60" s="2">
        <f t="shared" si="53"/>
        <v>865142.28999999992</v>
      </c>
      <c r="BF60" s="2">
        <f t="shared" si="53"/>
        <v>905839.3</v>
      </c>
      <c r="BG60" s="2">
        <f t="shared" si="53"/>
        <v>915101.83</v>
      </c>
      <c r="BH60" s="2">
        <f t="shared" si="53"/>
        <v>887741.17000000016</v>
      </c>
      <c r="BI60" s="2">
        <f t="shared" si="53"/>
        <v>1064928.53</v>
      </c>
      <c r="BJ60" s="2">
        <f t="shared" si="53"/>
        <v>824512.20000000007</v>
      </c>
      <c r="BK60" s="2">
        <f t="shared" si="53"/>
        <v>737238.65</v>
      </c>
      <c r="BL60" s="2">
        <f t="shared" si="53"/>
        <v>753629.73</v>
      </c>
      <c r="BM60" s="2">
        <f t="shared" si="53"/>
        <v>721133.80999999994</v>
      </c>
      <c r="BN60" s="2">
        <f t="shared" si="53"/>
        <v>757534.26</v>
      </c>
      <c r="BO60" s="2">
        <f t="shared" ref="BO60:BY60" si="54">BO15+BO53</f>
        <v>747689.62</v>
      </c>
      <c r="BP60" s="2">
        <f t="shared" si="54"/>
        <v>682741.03999999992</v>
      </c>
      <c r="BQ60" s="2">
        <f t="shared" si="54"/>
        <v>716629.72</v>
      </c>
      <c r="BR60" s="2">
        <f t="shared" si="54"/>
        <v>738558.73</v>
      </c>
      <c r="BS60" s="2">
        <f t="shared" si="54"/>
        <v>704558.04999999993</v>
      </c>
      <c r="BT60" s="2">
        <f t="shared" si="54"/>
        <v>733189.26</v>
      </c>
      <c r="BU60" s="2">
        <f t="shared" si="54"/>
        <v>552517.32999999996</v>
      </c>
      <c r="BV60" s="2">
        <f t="shared" si="54"/>
        <v>785600.75</v>
      </c>
      <c r="BW60" s="2">
        <f t="shared" si="54"/>
        <v>717641.55</v>
      </c>
      <c r="BX60" s="2">
        <f t="shared" si="54"/>
        <v>765410.27</v>
      </c>
      <c r="BY60" s="9">
        <f t="shared" si="54"/>
        <v>731870.81</v>
      </c>
      <c r="BZ60" s="9">
        <f t="shared" ref="BZ60:CS60" si="55">BZ15+BZ53</f>
        <v>724237.14999999991</v>
      </c>
      <c r="CA60" s="9">
        <f t="shared" si="55"/>
        <v>0</v>
      </c>
      <c r="CB60" s="9">
        <f t="shared" si="55"/>
        <v>0</v>
      </c>
      <c r="CC60" s="9">
        <f t="shared" si="55"/>
        <v>0</v>
      </c>
      <c r="CD60" s="9">
        <f t="shared" si="55"/>
        <v>0</v>
      </c>
      <c r="CE60" s="9">
        <f t="shared" si="55"/>
        <v>0</v>
      </c>
      <c r="CF60" s="9">
        <f t="shared" si="55"/>
        <v>0</v>
      </c>
      <c r="CG60" s="9">
        <f t="shared" si="55"/>
        <v>0</v>
      </c>
      <c r="CH60" s="9">
        <f t="shared" si="55"/>
        <v>757759.09400000004</v>
      </c>
      <c r="CI60" s="9">
        <f t="shared" si="55"/>
        <v>779909.99808000005</v>
      </c>
      <c r="CJ60" s="9">
        <f t="shared" si="55"/>
        <v>779822.98080000002</v>
      </c>
      <c r="CK60" s="9">
        <f t="shared" si="55"/>
        <v>780317.86985600006</v>
      </c>
      <c r="CL60" s="9">
        <f t="shared" si="55"/>
        <v>780673.73662400001</v>
      </c>
      <c r="CM60" s="9">
        <f t="shared" si="55"/>
        <v>644653.58824390243</v>
      </c>
      <c r="CN60" s="9">
        <f t="shared" si="55"/>
        <v>644653.58824390243</v>
      </c>
      <c r="CO60" s="9">
        <f t="shared" si="55"/>
        <v>644653.58824390243</v>
      </c>
      <c r="CP60" s="9">
        <f t="shared" si="55"/>
        <v>644653.58824390243</v>
      </c>
      <c r="CQ60" s="9">
        <f t="shared" si="55"/>
        <v>644653.58824390243</v>
      </c>
      <c r="CR60" s="9">
        <f t="shared" si="55"/>
        <v>644653.58824390243</v>
      </c>
      <c r="CS60" s="9">
        <f t="shared" si="55"/>
        <v>644653.58824390243</v>
      </c>
    </row>
    <row r="61" spans="1:97" x14ac:dyDescent="0.3">
      <c r="A61" s="6" t="s">
        <v>57</v>
      </c>
      <c r="B61" s="16">
        <f>B60/B8</f>
        <v>6.0861308303664536</v>
      </c>
      <c r="C61" s="16">
        <f t="shared" ref="C61:BN61" si="56">C60/C8</f>
        <v>5.0327072130281927</v>
      </c>
      <c r="D61" s="16">
        <f t="shared" si="56"/>
        <v>5.4460334875075329</v>
      </c>
      <c r="E61" s="16">
        <f t="shared" si="56"/>
        <v>4.835996896016554</v>
      </c>
      <c r="F61" s="16">
        <f t="shared" si="56"/>
        <v>5.4798407241645233</v>
      </c>
      <c r="G61" s="16">
        <f t="shared" si="56"/>
        <v>6.1145517051475675</v>
      </c>
      <c r="H61" s="16">
        <f t="shared" si="56"/>
        <v>5.6626121708429364</v>
      </c>
      <c r="I61" s="16">
        <f t="shared" si="56"/>
        <v>6.7122074011966921</v>
      </c>
      <c r="J61" s="16">
        <f t="shared" si="56"/>
        <v>6.0313521733302062</v>
      </c>
      <c r="K61" s="16">
        <f t="shared" si="56"/>
        <v>7.5026696258064511</v>
      </c>
      <c r="L61" s="16">
        <f t="shared" si="56"/>
        <v>6.4203329419804795</v>
      </c>
      <c r="M61" s="16">
        <f t="shared" si="56"/>
        <v>5.3839132702410533</v>
      </c>
      <c r="N61" s="16">
        <f t="shared" si="56"/>
        <v>6.248981492396557</v>
      </c>
      <c r="O61" s="16">
        <f t="shared" si="56"/>
        <v>5.2310449319899668</v>
      </c>
      <c r="P61" s="16">
        <f t="shared" si="56"/>
        <v>5.5645926836498063</v>
      </c>
      <c r="Q61" s="16">
        <f t="shared" si="56"/>
        <v>8.1698571819425432</v>
      </c>
      <c r="R61" s="16">
        <f t="shared" si="56"/>
        <v>8.2362888373449632</v>
      </c>
      <c r="S61" s="16">
        <f t="shared" si="56"/>
        <v>7.8924700584965191</v>
      </c>
      <c r="T61" s="16">
        <f t="shared" si="56"/>
        <v>5.5927298842662694</v>
      </c>
      <c r="U61" s="16">
        <f t="shared" si="56"/>
        <v>4.6666250710672479</v>
      </c>
      <c r="V61" s="16">
        <f t="shared" si="56"/>
        <v>5.4445368829266654</v>
      </c>
      <c r="W61" s="16">
        <f t="shared" si="56"/>
        <v>5.941182788095217</v>
      </c>
      <c r="X61" s="16">
        <f t="shared" si="56"/>
        <v>5.8928208291798079</v>
      </c>
      <c r="Y61" s="16">
        <f t="shared" si="56"/>
        <v>3.6915854699528183</v>
      </c>
      <c r="Z61" s="16">
        <f t="shared" si="56"/>
        <v>4.6677897350993378</v>
      </c>
      <c r="AA61" s="16">
        <f t="shared" si="56"/>
        <v>4.4800461246393306</v>
      </c>
      <c r="AB61" s="16">
        <f t="shared" si="56"/>
        <v>4.3688117562326143</v>
      </c>
      <c r="AC61" s="16">
        <f t="shared" si="56"/>
        <v>5.0987422945651115</v>
      </c>
      <c r="AD61" s="16">
        <f t="shared" si="56"/>
        <v>4.7791029415792501</v>
      </c>
      <c r="AE61" s="16">
        <f t="shared" si="56"/>
        <v>4.1851204805073854</v>
      </c>
      <c r="AF61" s="16">
        <f t="shared" si="56"/>
        <v>4.8686647291228473</v>
      </c>
      <c r="AG61" s="16">
        <f t="shared" si="56"/>
        <v>4.6750867184807996</v>
      </c>
      <c r="AH61" s="16">
        <f t="shared" si="56"/>
        <v>4.4067774966944198</v>
      </c>
      <c r="AI61" s="16">
        <f t="shared" si="56"/>
        <v>4.6520717196611425</v>
      </c>
      <c r="AJ61" s="16">
        <f t="shared" si="56"/>
        <v>5.3220462652982823</v>
      </c>
      <c r="AK61" s="16">
        <f t="shared" si="56"/>
        <v>3.4068391025496099</v>
      </c>
      <c r="AL61" s="16">
        <f t="shared" si="56"/>
        <v>4.9390275338808411</v>
      </c>
      <c r="AM61" s="16">
        <f t="shared" si="56"/>
        <v>5.5070150245176244</v>
      </c>
      <c r="AN61" s="16">
        <f t="shared" si="56"/>
        <v>5.1517827136474441</v>
      </c>
      <c r="AO61" s="16">
        <f t="shared" si="56"/>
        <v>4.9363588651284527</v>
      </c>
      <c r="AP61" s="16">
        <f t="shared" si="56"/>
        <v>6.8542664413620296</v>
      </c>
      <c r="AQ61" s="16">
        <f t="shared" si="56"/>
        <v>6.2367592573342616</v>
      </c>
      <c r="AR61" s="16">
        <f t="shared" si="56"/>
        <v>5.4442358828087016</v>
      </c>
      <c r="AS61" s="16">
        <f t="shared" si="56"/>
        <v>5.7703822701180165</v>
      </c>
      <c r="AT61" s="16">
        <f t="shared" si="56"/>
        <v>5.6519146212842699</v>
      </c>
      <c r="AU61" s="16">
        <f t="shared" si="56"/>
        <v>5.6496594981635733</v>
      </c>
      <c r="AV61" s="16">
        <f t="shared" si="56"/>
        <v>4.7202629418951974</v>
      </c>
      <c r="AW61" s="16">
        <f t="shared" si="56"/>
        <v>5.7420483556905992</v>
      </c>
      <c r="AX61" s="16">
        <f t="shared" si="56"/>
        <v>5.8237446103349866</v>
      </c>
      <c r="AY61" s="16">
        <f t="shared" si="56"/>
        <v>6.3230331373648241</v>
      </c>
      <c r="AZ61" s="16">
        <f t="shared" si="56"/>
        <v>6.1944859388580467</v>
      </c>
      <c r="BA61" s="16">
        <f t="shared" si="56"/>
        <v>5.6413887214361651</v>
      </c>
      <c r="BB61" s="16">
        <f t="shared" si="56"/>
        <v>8.8959260588160589</v>
      </c>
      <c r="BC61" s="16">
        <f t="shared" si="56"/>
        <v>5.6650372126803683</v>
      </c>
      <c r="BD61" s="16">
        <f t="shared" si="56"/>
        <v>5.7372957342134434</v>
      </c>
      <c r="BE61" s="16">
        <f t="shared" si="56"/>
        <v>5.2455412350569084</v>
      </c>
      <c r="BF61" s="16">
        <f t="shared" si="56"/>
        <v>9.4842728931389306</v>
      </c>
      <c r="BG61" s="16">
        <f t="shared" si="56"/>
        <v>9.2359129647897529</v>
      </c>
      <c r="BH61" s="16">
        <f t="shared" si="56"/>
        <v>8.2790939955803982</v>
      </c>
      <c r="BI61" s="16">
        <f t="shared" si="56"/>
        <v>10.773971393540302</v>
      </c>
      <c r="BJ61" s="16">
        <f t="shared" si="56"/>
        <v>4.3446803956535716</v>
      </c>
      <c r="BK61" s="16">
        <f t="shared" si="56"/>
        <v>3.6407271215605275</v>
      </c>
      <c r="BL61" s="16">
        <f t="shared" si="56"/>
        <v>7.3234051791029593</v>
      </c>
      <c r="BM61" s="16">
        <f t="shared" si="56"/>
        <v>5.8339892454467712</v>
      </c>
      <c r="BN61" s="16">
        <f t="shared" si="56"/>
        <v>7.1804331382618747</v>
      </c>
      <c r="BO61" s="16">
        <f t="shared" ref="BO61:BY61" si="57">BO60/BO8</f>
        <v>8.4906838519191474</v>
      </c>
      <c r="BP61" s="16">
        <f t="shared" si="57"/>
        <v>8.2472554187081748</v>
      </c>
      <c r="BQ61" s="16">
        <f t="shared" si="57"/>
        <v>7.5009568923252239</v>
      </c>
      <c r="BR61" s="16">
        <f t="shared" si="57"/>
        <v>4.7710916029069752</v>
      </c>
      <c r="BS61" s="16">
        <f t="shared" si="57"/>
        <v>6.1919501963903674</v>
      </c>
      <c r="BT61" s="16">
        <f t="shared" si="57"/>
        <v>4.4594718574738748</v>
      </c>
      <c r="BU61" s="16">
        <f t="shared" si="57"/>
        <v>3.0329999809517108</v>
      </c>
      <c r="BV61" s="16">
        <f t="shared" si="57"/>
        <v>4.3135977638717087</v>
      </c>
      <c r="BW61" s="16">
        <f t="shared" si="57"/>
        <v>6.52318979692566</v>
      </c>
      <c r="BX61" s="16">
        <f t="shared" si="57"/>
        <v>6.6130390723069183</v>
      </c>
      <c r="BY61" s="28">
        <f t="shared" si="57"/>
        <v>8.495696843245069</v>
      </c>
      <c r="BZ61" s="28">
        <f t="shared" ref="BZ61:CS61" si="58">BZ60/BZ8</f>
        <v>5.77733243244968</v>
      </c>
      <c r="CA61" s="28" t="e">
        <f t="shared" si="58"/>
        <v>#DIV/0!</v>
      </c>
      <c r="CB61" s="28" t="e">
        <f t="shared" si="58"/>
        <v>#DIV/0!</v>
      </c>
      <c r="CC61" s="28" t="e">
        <f t="shared" si="58"/>
        <v>#DIV/0!</v>
      </c>
      <c r="CD61" s="28" t="e">
        <f t="shared" si="58"/>
        <v>#DIV/0!</v>
      </c>
      <c r="CE61" s="28" t="e">
        <f t="shared" si="58"/>
        <v>#DIV/0!</v>
      </c>
      <c r="CF61" s="28" t="e">
        <f t="shared" si="58"/>
        <v>#DIV/0!</v>
      </c>
      <c r="CG61" s="28" t="e">
        <f t="shared" si="58"/>
        <v>#DIV/0!</v>
      </c>
      <c r="CH61" s="28">
        <f t="shared" si="58"/>
        <v>5.4652657338622435</v>
      </c>
      <c r="CI61" s="28">
        <f t="shared" si="58"/>
        <v>5.580751327942755</v>
      </c>
      <c r="CJ61" s="28">
        <f t="shared" si="58"/>
        <v>5.3911025288627723</v>
      </c>
      <c r="CK61" s="28">
        <f t="shared" si="58"/>
        <v>5.656526784023197</v>
      </c>
      <c r="CL61" s="28">
        <f t="shared" si="58"/>
        <v>6.0833299822644742</v>
      </c>
      <c r="CM61" s="28">
        <f t="shared" si="58"/>
        <v>5.8129268552200397</v>
      </c>
      <c r="CN61" s="28">
        <f t="shared" si="58"/>
        <v>5.8129268552200397</v>
      </c>
      <c r="CO61" s="28">
        <f t="shared" si="58"/>
        <v>5.8129268552200397</v>
      </c>
      <c r="CP61" s="28">
        <f t="shared" si="58"/>
        <v>5.8129268552200397</v>
      </c>
      <c r="CQ61" s="28">
        <f t="shared" si="58"/>
        <v>5.8129268552200397</v>
      </c>
      <c r="CR61" s="28">
        <f t="shared" si="58"/>
        <v>5.8129268552200397</v>
      </c>
      <c r="CS61" s="28">
        <f t="shared" si="58"/>
        <v>5.8129268552200397</v>
      </c>
    </row>
    <row r="65" spans="83:83" x14ac:dyDescent="0.3">
      <c r="CE65" s="17"/>
    </row>
  </sheetData>
  <pageMargins left="0.7" right="0.7" top="0.75" bottom="0.75" header="0.3" footer="0.3"/>
  <pageSetup paperSize="9"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SB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Camille Salloum : IP-PMD-MGT</dc:creator>
  <cp:lastModifiedBy>Camille Salloum : IP-PMD-MGT</cp:lastModifiedBy>
  <dcterms:created xsi:type="dcterms:W3CDTF">2025-04-29T06:23:24Z</dcterms:created>
  <dcterms:modified xsi:type="dcterms:W3CDTF">2025-11-24T11:45:08Z</dcterms:modified>
</cp:coreProperties>
</file>